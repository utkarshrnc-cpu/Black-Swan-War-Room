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any" sheetId="2" state="visible" r:id="rId4"/>
    <sheet name="Budget_Lines" sheetId="3" state="visible" r:id="rId5"/>
    <sheet name="Suppliers" sheetId="4" state="visible" r:id="rId6"/>
    <sheet name="Events" sheetId="5" state="visible" r:id="rId7"/>
    <sheet name="Event_Impacts" sheetId="6" state="visible" r:id="rId8"/>
    <sheet name="Strategies" sheetId="7" state="visible" r:id="rId9"/>
    <sheet name="Signal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<sst xmlns="http://schemas.openxmlformats.org/spreadsheetml/2006/main" count="702" uniqueCount="438">
  <si>
    <t xml:space="preserve">Black Swan War Room — Data Ingestion Workbook</t>
  </si>
  <si>
    <t xml:space="preserve">Example company: Cascadia Aerospace Components</t>
  </si>
  <si>
    <t xml:space="preserve">WHAT THIS IS</t>
  </si>
  <si>
    <t xml:space="preserve">This workbook is the data contract for the Black Swan War Room prototype. Fill these sheets with</t>
  </si>
  <si>
    <t xml:space="preserve">your own company's data, upload the file in the app, and the analysis runs on YOUR numbers.</t>
  </si>
  <si>
    <t xml:space="preserve">Every sheet maps directly onto what the app computes — suppliers, budget lines, events, strategies.</t>
  </si>
  <si>
    <t xml:space="preserve">HOW THE APP USES IT</t>
  </si>
  <si>
    <t xml:space="preserve">1. Company        → header KPIs, financial targets, plant list</t>
  </si>
  <si>
    <t xml:space="preserve">2. Budget_Lines   → the operating budget, donut chart, and per-line impact bars</t>
  </si>
  <si>
    <t xml:space="preserve">3. Suppliers      → the risk heatmap and the cascade graph's supplier layer</t>
  </si>
  <si>
    <t xml:space="preserve">4. Events         → the selectable black swan events and their P10/P50/P90 impact ranges</t>
  </si>
  <si>
    <t xml:space="preserve">5. Event_Impacts  → which budget lines each event hits (drives the cascade)</t>
  </si>
  <si>
    <t xml:space="preserve">6. Strategies     → the mitigation workbench cards and their composable clauses</t>
  </si>
  <si>
    <t xml:space="preserve">7. Signals        → the live signal-feed ticker</t>
  </si>
  <si>
    <t xml:space="preserve">THE GROUNDING RULE</t>
  </si>
  <si>
    <t xml:space="preserve">The app's language model never invents numbers. With an uploaded file, YOUR numbers become the</t>
  </si>
  <si>
    <t xml:space="preserve">grounded source. The simulated ML models (risk scoring, cost impact, constraint solving) run</t>
  </si>
  <si>
    <t xml:space="preserve">against your inputs. This is a prototype: models are simulated deterministically in-browser,</t>
  </si>
  <si>
    <t xml:space="preserve">not run on a live Databricks cluster.</t>
  </si>
  <si>
    <t xml:space="preserve">VALIDATION RULES (the app checks these on upload)</t>
  </si>
  <si>
    <t xml:space="preserve">• All 7 sheets must be present with the exact names above.</t>
  </si>
  <si>
    <t xml:space="preserve">• Budget_Lines: every row needs a unique Line_ID, a Category, and a numeric FY_Current value.</t>
  </si>
  <si>
    <t xml:space="preserve">• Suppliers: every row needs a unique Supplier_ID, a Region, and a Risk_Score between 0 and 100.</t>
  </si>
  <si>
    <t xml:space="preserve">• Events: every row needs a unique Event_ID and P10 &lt;= P50 &lt;= P90 (in $ millions).</t>
  </si>
  <si>
    <t xml:space="preserve">• Event_Impacts: every Event_ID and Line_ID must exist in the Events and Budget_Lines sheets.</t>
  </si>
  <si>
    <t xml:space="preserve">• Strategies: every row needs a Strategy_ID, a Savings_P50, and at least one clause.</t>
  </si>
  <si>
    <t xml:space="preserve">• Numbers must be numbers (no text like 'N/A' in numeric columns). Use 0, not blank, for zero.</t>
  </si>
  <si>
    <t xml:space="preserve">• If validation fails, the app shows you exactly which sheet, row, and rule failed.</t>
  </si>
  <si>
    <t xml:space="preserve">CURRENCY &amp; UNITS</t>
  </si>
  <si>
    <t xml:space="preserve">• Budget figures: whole dollars (e.g. 3300000 for $3.3M). The app formats them.</t>
  </si>
  <si>
    <t xml:space="preserve">• Event impact ranges (P10/P50/P90): in $ MILLIONS (e.g. 4.2 for $4.2M).</t>
  </si>
  <si>
    <t xml:space="preserve">• Strategy savings: in $ MILLIONS.</t>
  </si>
  <si>
    <t xml:space="preserve">• Percentages: as decimals would be ambiguous, so enter whole numbers (e.g. 32 for 32%).</t>
  </si>
  <si>
    <t xml:space="preserve">TIP</t>
  </si>
  <si>
    <t xml:space="preserve">Start by editing the Cascadia example values rather than starting blank — it keeps the</t>
  </si>
  <si>
    <t xml:space="preserve">structure intact. Change the company, swap the numbers, add or remove rows. Keep the headers.</t>
  </si>
  <si>
    <t xml:space="preserve">Company Profile</t>
  </si>
  <si>
    <t xml:space="preserve">Field</t>
  </si>
  <si>
    <t xml:space="preserve">Value</t>
  </si>
  <si>
    <t xml:space="preserve">Notes</t>
  </si>
  <si>
    <t xml:space="preserve">Company_Name</t>
  </si>
  <si>
    <t xml:space="preserve">Cascadia Aerospace Components, Inc.</t>
  </si>
  <si>
    <t xml:space="preserve">Displayed in the shell bar</t>
  </si>
  <si>
    <t xml:space="preserve">Ticker</t>
  </si>
  <si>
    <t xml:space="preserve">NASDAQ: CASC (private; mock)</t>
  </si>
  <si>
    <t xml:space="preserve">Displayed under company name</t>
  </si>
  <si>
    <t xml:space="preserve">Industry</t>
  </si>
  <si>
    <t xml:space="preserve">Aerospace structural parts &amp; fasteners</t>
  </si>
  <si>
    <t xml:space="preserve">For context</t>
  </si>
  <si>
    <t xml:space="preserve">Revenue_USD</t>
  </si>
  <si>
    <t xml:space="preserve">Annual revenue in whole dollars</t>
  </si>
  <si>
    <t xml:space="preserve">Operating_Expense_USD</t>
  </si>
  <si>
    <t xml:space="preserve">Total OpEx; matches sum of Budget_Lines FY_Current</t>
  </si>
  <si>
    <t xml:space="preserve">Employees</t>
  </si>
  <si>
    <t xml:space="preserve">Headcount</t>
  </si>
  <si>
    <t xml:space="preserve">Plant_1</t>
  </si>
  <si>
    <t xml:space="preserve">Everett, WA</t>
  </si>
  <si>
    <t xml:space="preserve">Plants appear in the cascade graph</t>
  </si>
  <si>
    <t xml:space="preserve">Plant_2</t>
  </si>
  <si>
    <t xml:space="preserve">Wichita, KS</t>
  </si>
  <si>
    <t xml:space="preserve">Plant_3</t>
  </si>
  <si>
    <t xml:space="preserve">Charleston, SC</t>
  </si>
  <si>
    <t xml:space="preserve">Plant_4</t>
  </si>
  <si>
    <t xml:space="preserve">Querétaro, MX</t>
  </si>
  <si>
    <t xml:space="preserve">Plant_5</t>
  </si>
  <si>
    <t xml:space="preserve">Belfast, UK</t>
  </si>
  <si>
    <t xml:space="preserve">Gross_Margin_Target_Pct</t>
  </si>
  <si>
    <t xml:space="preserve">Whole number, e.g. 38 = 38%</t>
  </si>
  <si>
    <t xml:space="preserve">Gross_Margin_Current_Pct</t>
  </si>
  <si>
    <t xml:space="preserve">Current projected</t>
  </si>
  <si>
    <t xml:space="preserve">EBITDA_Margin_Target_Pct</t>
  </si>
  <si>
    <t xml:space="preserve">EBITDA_Margin_Current_Pct</t>
  </si>
  <si>
    <t xml:space="preserve">Contingency_Reserve_Pct</t>
  </si>
  <si>
    <t xml:space="preserve">As % of OpEx</t>
  </si>
  <si>
    <t xml:space="preserve">Hedge_Coverage_Pct</t>
  </si>
  <si>
    <t xml:space="preserve">Current FX/commodity hedge coverage</t>
  </si>
  <si>
    <t xml:space="preserve">Fiscal_Year</t>
  </si>
  <si>
    <t xml:space="preserve">FY2026</t>
  </si>
  <si>
    <t xml:space="preserve">Label only</t>
  </si>
  <si>
    <t xml:space="preserve">Active_Signal_Count</t>
  </si>
  <si>
    <t xml:space="preserve">Shown in KPI strip</t>
  </si>
  <si>
    <t xml:space="preserve">Operating Budget Lines</t>
  </si>
  <si>
    <t xml:space="preserve">60 lines across 11 categories. FY_Current should sum to the company's Operating_Expense_USD.</t>
  </si>
  <si>
    <t xml:space="preserve">Line_ID</t>
  </si>
  <si>
    <t xml:space="preserve">Line_Name</t>
  </si>
  <si>
    <t xml:space="preserve">Category</t>
  </si>
  <si>
    <t xml:space="preserve">FY_Prior</t>
  </si>
  <si>
    <t xml:space="preserve">FY_Current</t>
  </si>
  <si>
    <t xml:space="preserve">Escalation_Pct</t>
  </si>
  <si>
    <t xml:space="preserve">SAP_Source</t>
  </si>
  <si>
    <t xml:space="preserve">RM-001</t>
  </si>
  <si>
    <t xml:space="preserve">Titanium billet (Grade 5)</t>
  </si>
  <si>
    <t xml:space="preserve">Raw Materials</t>
  </si>
  <si>
    <t xml:space="preserve">S/4HANA GL</t>
  </si>
  <si>
    <t xml:space="preserve">RM-002</t>
  </si>
  <si>
    <t xml:space="preserve">Aluminum-lithium alloy plate</t>
  </si>
  <si>
    <t xml:space="preserve">RM-003</t>
  </si>
  <si>
    <t xml:space="preserve">Carbon fiber prepreg</t>
  </si>
  <si>
    <t xml:space="preserve">RM-004</t>
  </si>
  <si>
    <t xml:space="preserve">Nickel superalloy (Inconel)</t>
  </si>
  <si>
    <t xml:space="preserve">RM-005</t>
  </si>
  <si>
    <t xml:space="preserve">Stainless fastener stock (A286)</t>
  </si>
  <si>
    <t xml:space="preserve">RM-006</t>
  </si>
  <si>
    <t xml:space="preserve">Adhesives &amp; sealants (aero-grade)</t>
  </si>
  <si>
    <t xml:space="preserve">RM-007</t>
  </si>
  <si>
    <t xml:space="preserve">Surface treatment chemicals</t>
  </si>
  <si>
    <t xml:space="preserve">RM-008</t>
  </si>
  <si>
    <t xml:space="preserve">Cutting fluids &amp; lubricants</t>
  </si>
  <si>
    <t xml:space="preserve">CO-001</t>
  </si>
  <si>
    <t xml:space="preserve">Precision bearings</t>
  </si>
  <si>
    <t xml:space="preserve">Components</t>
  </si>
  <si>
    <t xml:space="preserve">CO-002</t>
  </si>
  <si>
    <t xml:space="preserve">Hydraulic actuators</t>
  </si>
  <si>
    <t xml:space="preserve">CO-003</t>
  </si>
  <si>
    <t xml:space="preserve">Electrical harnesses</t>
  </si>
  <si>
    <t xml:space="preserve">CO-004</t>
  </si>
  <si>
    <t xml:space="preserve">Sensor assemblies</t>
  </si>
  <si>
    <t xml:space="preserve">CO-005</t>
  </si>
  <si>
    <t xml:space="preserve">Machined housings</t>
  </si>
  <si>
    <t xml:space="preserve">CO-006</t>
  </si>
  <si>
    <t xml:space="preserve">Forged brackets</t>
  </si>
  <si>
    <t xml:space="preserve">CO-007</t>
  </si>
  <si>
    <t xml:space="preserve">Composite panels (sub-assy)</t>
  </si>
  <si>
    <t xml:space="preserve">CO-008</t>
  </si>
  <si>
    <t xml:space="preserve">Seals &amp; gaskets</t>
  </si>
  <si>
    <t xml:space="preserve">DL-001</t>
  </si>
  <si>
    <t xml:space="preserve">Machining labor</t>
  </si>
  <si>
    <t xml:space="preserve">Direct Labor</t>
  </si>
  <si>
    <t xml:space="preserve">DL-002</t>
  </si>
  <si>
    <t xml:space="preserve">Assembly labor</t>
  </si>
  <si>
    <t xml:space="preserve">DL-003</t>
  </si>
  <si>
    <t xml:space="preserve">Quality inspection labor</t>
  </si>
  <si>
    <t xml:space="preserve">DL-004</t>
  </si>
  <si>
    <t xml:space="preserve">Composites layup labor</t>
  </si>
  <si>
    <t xml:space="preserve">DL-005</t>
  </si>
  <si>
    <t xml:space="preserve">NDT technician labor</t>
  </si>
  <si>
    <t xml:space="preserve">LG-001</t>
  </si>
  <si>
    <t xml:space="preserve">Ocean freight — inbound</t>
  </si>
  <si>
    <t xml:space="preserve">Logistics</t>
  </si>
  <si>
    <t xml:space="preserve">LG-002</t>
  </si>
  <si>
    <t xml:space="preserve">Air freight — expedited</t>
  </si>
  <si>
    <t xml:space="preserve">LG-003</t>
  </si>
  <si>
    <t xml:space="preserve">Domestic trucking</t>
  </si>
  <si>
    <t xml:space="preserve">LG-004</t>
  </si>
  <si>
    <t xml:space="preserve">Customs &amp; brokerage</t>
  </si>
  <si>
    <t xml:space="preserve">LG-005</t>
  </si>
  <si>
    <t xml:space="preserve">Warehousing &amp; 3PL</t>
  </si>
  <si>
    <t xml:space="preserve">LG-006</t>
  </si>
  <si>
    <t xml:space="preserve">Insurance — cargo / marine</t>
  </si>
  <si>
    <t xml:space="preserve">LG-007</t>
  </si>
  <si>
    <t xml:space="preserve">Hazmat handling</t>
  </si>
  <si>
    <t xml:space="preserve">MN-001</t>
  </si>
  <si>
    <t xml:space="preserve">CNC machine maintenance</t>
  </si>
  <si>
    <t xml:space="preserve">Maintenance</t>
  </si>
  <si>
    <t xml:space="preserve">MN-002</t>
  </si>
  <si>
    <t xml:space="preserve">Autoclave maintenance</t>
  </si>
  <si>
    <t xml:space="preserve">MN-003</t>
  </si>
  <si>
    <t xml:space="preserve">Facility upkeep</t>
  </si>
  <si>
    <t xml:space="preserve">MN-004</t>
  </si>
  <si>
    <t xml:space="preserve">Tooling refurbishment</t>
  </si>
  <si>
    <t xml:space="preserve">MN-005</t>
  </si>
  <si>
    <t xml:space="preserve">Calibration services</t>
  </si>
  <si>
    <t xml:space="preserve">QA-001</t>
  </si>
  <si>
    <t xml:space="preserve">AS9100 certification &amp; audits</t>
  </si>
  <si>
    <t xml:space="preserve">Quality</t>
  </si>
  <si>
    <t xml:space="preserve">QA-002</t>
  </si>
  <si>
    <t xml:space="preserve">First-article inspection</t>
  </si>
  <si>
    <t xml:space="preserve">QA-003</t>
  </si>
  <si>
    <t xml:space="preserve">Supplier quality audits</t>
  </si>
  <si>
    <t xml:space="preserve">QA-004</t>
  </si>
  <si>
    <t xml:space="preserve">Scrap &amp; rework</t>
  </si>
  <si>
    <t xml:space="preserve">IN-001</t>
  </si>
  <si>
    <t xml:space="preserve">Plant utilities</t>
  </si>
  <si>
    <t xml:space="preserve">Indirect</t>
  </si>
  <si>
    <t xml:space="preserve">IN-002</t>
  </si>
  <si>
    <t xml:space="preserve">IT &amp; systems</t>
  </si>
  <si>
    <t xml:space="preserve">IN-003</t>
  </si>
  <si>
    <t xml:space="preserve">Indirect materials (MRO)</t>
  </si>
  <si>
    <t xml:space="preserve">IN-004</t>
  </si>
  <si>
    <t xml:space="preserve">Safety &amp; PPE</t>
  </si>
  <si>
    <t xml:space="preserve">OH-001</t>
  </si>
  <si>
    <t xml:space="preserve">Plant management</t>
  </si>
  <si>
    <t xml:space="preserve">Overhead</t>
  </si>
  <si>
    <t xml:space="preserve">OH-002</t>
  </si>
  <si>
    <t xml:space="preserve">Finance &amp; admin</t>
  </si>
  <si>
    <t xml:space="preserve">OH-003</t>
  </si>
  <si>
    <t xml:space="preserve">HR &amp; training</t>
  </si>
  <si>
    <t xml:space="preserve">OH-004</t>
  </si>
  <si>
    <t xml:space="preserve">Legal &amp; compliance</t>
  </si>
  <si>
    <t xml:space="preserve">RD-001</t>
  </si>
  <si>
    <t xml:space="preserve">Materials engineering</t>
  </si>
  <si>
    <t xml:space="preserve">R&amp;D</t>
  </si>
  <si>
    <t xml:space="preserve">RD-002</t>
  </si>
  <si>
    <t xml:space="preserve">Process development</t>
  </si>
  <si>
    <t xml:space="preserve">RD-003</t>
  </si>
  <si>
    <t xml:space="preserve">Test &amp; certification programs</t>
  </si>
  <si>
    <t xml:space="preserve">RD-004</t>
  </si>
  <si>
    <t xml:space="preserve">Digital thread / PLM</t>
  </si>
  <si>
    <t xml:space="preserve">SM-001</t>
  </si>
  <si>
    <t xml:space="preserve">Business development</t>
  </si>
  <si>
    <t xml:space="preserve">Sales &amp; Marketing</t>
  </si>
  <si>
    <t xml:space="preserve">SM-002</t>
  </si>
  <si>
    <t xml:space="preserve">Proposal &amp; estimating</t>
  </si>
  <si>
    <t xml:space="preserve">SM-003</t>
  </si>
  <si>
    <t xml:space="preserve">Trade shows &amp; travel</t>
  </si>
  <si>
    <t xml:space="preserve">SM-004</t>
  </si>
  <si>
    <t xml:space="preserve">Customer program management</t>
  </si>
  <si>
    <t xml:space="preserve">TR-001</t>
  </si>
  <si>
    <t xml:space="preserve">Import duties &amp; tariffs</t>
  </si>
  <si>
    <t xml:space="preserve">Trade Costs</t>
  </si>
  <si>
    <t xml:space="preserve">TR-002</t>
  </si>
  <si>
    <t xml:space="preserve">Export control compliance</t>
  </si>
  <si>
    <t xml:space="preserve">TR-003</t>
  </si>
  <si>
    <t xml:space="preserve">Currency hedging premium</t>
  </si>
  <si>
    <t xml:space="preserve">TR-004</t>
  </si>
  <si>
    <t xml:space="preserve">Letters of credit / trade finance</t>
  </si>
  <si>
    <t xml:space="preserve">CN-001</t>
  </si>
  <si>
    <t xml:space="preserve">Operational contingency reserve</t>
  </si>
  <si>
    <t xml:space="preserve">Contingency</t>
  </si>
  <si>
    <t xml:space="preserve">CN-002</t>
  </si>
  <si>
    <t xml:space="preserve">Supply disruption buffer</t>
  </si>
  <si>
    <t xml:space="preserve">CN-003</t>
  </si>
  <si>
    <t xml:space="preserve">Warranty reserve</t>
  </si>
  <si>
    <t xml:space="preserve">TOTAL OPERATING EXPENSE</t>
  </si>
  <si>
    <t xml:space="preserve">Supplier Master</t>
  </si>
  <si>
    <t xml:space="preserve">Add as many as you like. Region drives the heatmap grouping. Event_Exposed flags suppliers hit by an event.</t>
  </si>
  <si>
    <t xml:space="preserve">Supplier_ID</t>
  </si>
  <si>
    <t xml:space="preserve">Supplier_Name</t>
  </si>
  <si>
    <t xml:space="preserve">Location</t>
  </si>
  <si>
    <t xml:space="preserve">Region</t>
  </si>
  <si>
    <t xml:space="preserve">Risk_Score</t>
  </si>
  <si>
    <t xml:space="preserve">OTD_Pct</t>
  </si>
  <si>
    <t xml:space="preserve">Credit</t>
  </si>
  <si>
    <t xml:space="preserve">Annual_Spend_USD</t>
  </si>
  <si>
    <t xml:space="preserve">Materials</t>
  </si>
  <si>
    <t xml:space="preserve">Event_Exposed</t>
  </si>
  <si>
    <t xml:space="preserve">SUP-0001</t>
  </si>
  <si>
    <t xml:space="preserve">Titanium Metals Corp (TIMET)</t>
  </si>
  <si>
    <t xml:space="preserve">Henderson, NV, USA</t>
  </si>
  <si>
    <t xml:space="preserve">North America</t>
  </si>
  <si>
    <t xml:space="preserve">A</t>
  </si>
  <si>
    <t xml:space="preserve">Titanium billet</t>
  </si>
  <si>
    <t xml:space="preserve">NO</t>
  </si>
  <si>
    <t xml:space="preserve">SUP-0002</t>
  </si>
  <si>
    <t xml:space="preserve">Alcoa Aerospace</t>
  </si>
  <si>
    <t xml:space="preserve">Pittsburgh, PA, USA</t>
  </si>
  <si>
    <t xml:space="preserve">A-</t>
  </si>
  <si>
    <t xml:space="preserve">Aluminum-lithium</t>
  </si>
  <si>
    <t xml:space="preserve">SUP-0003</t>
  </si>
  <si>
    <t xml:space="preserve">Hexcel Composites</t>
  </si>
  <si>
    <t xml:space="preserve">Stamford, CT, USA</t>
  </si>
  <si>
    <t xml:space="preserve">BBB+</t>
  </si>
  <si>
    <t xml:space="preserve">SUP-0004</t>
  </si>
  <si>
    <t xml:space="preserve">VSMPO-AVISMA</t>
  </si>
  <si>
    <t xml:space="preserve">Verkhnyaya Salda, RU</t>
  </si>
  <si>
    <t xml:space="preserve">Europe</t>
  </si>
  <si>
    <t xml:space="preserve">BB-</t>
  </si>
  <si>
    <t xml:space="preserve">YES</t>
  </si>
  <si>
    <t xml:space="preserve">SUP-0005</t>
  </si>
  <si>
    <t xml:space="preserve">Aubert &amp; Duval</t>
  </si>
  <si>
    <t xml:space="preserve">Paris, FR</t>
  </si>
  <si>
    <t xml:space="preserve">BBB</t>
  </si>
  <si>
    <t xml:space="preserve">Nickel superalloy</t>
  </si>
  <si>
    <t xml:space="preserve">SUP-0006</t>
  </si>
  <si>
    <t xml:space="preserve">Gulf Fastener Industries</t>
  </si>
  <si>
    <t xml:space="preserve">Dubai, UAE</t>
  </si>
  <si>
    <t xml:space="preserve">Middle East</t>
  </si>
  <si>
    <t xml:space="preserve">BB</t>
  </si>
  <si>
    <t xml:space="preserve">Stainless fasteners</t>
  </si>
  <si>
    <t xml:space="preserve">SUP-0007</t>
  </si>
  <si>
    <t xml:space="preserve">Emirates Aluminium (EGA)</t>
  </si>
  <si>
    <t xml:space="preserve">Abu Dhabi, UAE</t>
  </si>
  <si>
    <t xml:space="preserve">BB+</t>
  </si>
  <si>
    <t xml:space="preserve">Aluminum plate</t>
  </si>
  <si>
    <t xml:space="preserve">SUP-0008</t>
  </si>
  <si>
    <t xml:space="preserve">Bahrain Aero Alloys</t>
  </si>
  <si>
    <t xml:space="preserve">Manama, BH</t>
  </si>
  <si>
    <t xml:space="preserve">SUP-0009</t>
  </si>
  <si>
    <t xml:space="preserve">Qatar Composite Works</t>
  </si>
  <si>
    <t xml:space="preserve">Doha, QA</t>
  </si>
  <si>
    <t xml:space="preserve">SUP-0010</t>
  </si>
  <si>
    <t xml:space="preserve">Mitsubishi Heavy Materials</t>
  </si>
  <si>
    <t xml:space="preserve">Nagoya, JP</t>
  </si>
  <si>
    <t xml:space="preserve">Asia</t>
  </si>
  <si>
    <t xml:space="preserve">Composite panels</t>
  </si>
  <si>
    <t xml:space="preserve">SUP-0011</t>
  </si>
  <si>
    <t xml:space="preserve">Korea Aerospace Alloys</t>
  </si>
  <si>
    <t xml:space="preserve">Busan, KR</t>
  </si>
  <si>
    <t xml:space="preserve">BBB-</t>
  </si>
  <si>
    <t xml:space="preserve">SUP-0012</t>
  </si>
  <si>
    <t xml:space="preserve">Tata Advanced Materials</t>
  </si>
  <si>
    <t xml:space="preserve">Hyderabad, IN</t>
  </si>
  <si>
    <t xml:space="preserve">SUP-0013</t>
  </si>
  <si>
    <t xml:space="preserve">Singapore Precision Bearings</t>
  </si>
  <si>
    <t xml:space="preserve">Singapore, SG</t>
  </si>
  <si>
    <t xml:space="preserve">SUP-0014</t>
  </si>
  <si>
    <t xml:space="preserve">Safran Landing Systems</t>
  </si>
  <si>
    <t xml:space="preserve">Vélizy, FR</t>
  </si>
  <si>
    <t xml:space="preserve">SUP-0015</t>
  </si>
  <si>
    <t xml:space="preserve">GKN Aerospace</t>
  </si>
  <si>
    <t xml:space="preserve">Redditch, UK</t>
  </si>
  <si>
    <t xml:space="preserve">SUP-0016</t>
  </si>
  <si>
    <t xml:space="preserve">Precision Castparts (PCC)</t>
  </si>
  <si>
    <t xml:space="preserve">Portland, OR, USA</t>
  </si>
  <si>
    <t xml:space="preserve">SUP-0017</t>
  </si>
  <si>
    <t xml:space="preserve">Bodycote Thermal</t>
  </si>
  <si>
    <t xml:space="preserve">Macclesfield, UK</t>
  </si>
  <si>
    <t xml:space="preserve">Surface treatment</t>
  </si>
  <si>
    <t xml:space="preserve">SUP-0018</t>
  </si>
  <si>
    <t xml:space="preserve">TE Connectivity Aero</t>
  </si>
  <si>
    <t xml:space="preserve">Schaffhausen, CH</t>
  </si>
  <si>
    <t xml:space="preserve">SUP-0019</t>
  </si>
  <si>
    <t xml:space="preserve">Meggitt Sensing</t>
  </si>
  <si>
    <t xml:space="preserve">Coventry, UK</t>
  </si>
  <si>
    <t xml:space="preserve">SUP-0020</t>
  </si>
  <si>
    <t xml:space="preserve">Howmet Aerospace</t>
  </si>
  <si>
    <t xml:space="preserve">Fastener stock</t>
  </si>
  <si>
    <t xml:space="preserve">Note: This is a representative sample. The app expands to the full supplier graph; add rows as needed.</t>
  </si>
  <si>
    <t xml:space="preserve">Black Swan Events</t>
  </si>
  <si>
    <t xml:space="preserve">Impact ranges in $ MILLIONS. P10 &lt;= P50 &lt;= P90. The first row is the default fired event.</t>
  </si>
  <si>
    <t xml:space="preserve">Event_ID</t>
  </si>
  <si>
    <t xml:space="preserve">Event_Label</t>
  </si>
  <si>
    <t xml:space="preserve">Severity</t>
  </si>
  <si>
    <t xml:space="preserve">P10_M</t>
  </si>
  <si>
    <t xml:space="preserve">P50_M</t>
  </si>
  <si>
    <t xml:space="preserve">P90_M</t>
  </si>
  <si>
    <t xml:space="preserve">AI_Summary</t>
  </si>
  <si>
    <t xml:space="preserve">HORMUZ</t>
  </si>
  <si>
    <t xml:space="preserve">Strait of Hormuz Blockade</t>
  </si>
  <si>
    <t xml:space="preserve">Severe</t>
  </si>
  <si>
    <t xml:space="preserve">Severe disruption to Gulf-routed titanium and aluminum inputs. P50 impact ~$4.6M over 90 days; mitigation window 7-10 days before contracts begin to fail.</t>
  </si>
  <si>
    <t xml:space="preserve">TI_SHOCK</t>
  </si>
  <si>
    <t xml:space="preserve">Titanium Supply Shock (Russia sanctions)</t>
  </si>
  <si>
    <t xml:space="preserve">Sanctions tighten on VSMPO-AVISMA. Titanium billet availability drops sharply; aerospace-grade stock most exposed.</t>
  </si>
  <si>
    <t xml:space="preserve">RED_SEA</t>
  </si>
  <si>
    <t xml:space="preserve">Red Sea Shipping Disruption</t>
  </si>
  <si>
    <t xml:space="preserve">High</t>
  </si>
  <si>
    <t xml:space="preserve">Suez reroute adds 12-14 days to Asia-inbound composites. Air-expedite pressure on margin.</t>
  </si>
  <si>
    <t xml:space="preserve">CARBON</t>
  </si>
  <si>
    <t xml:space="preserve">Carbon Fiber Allocation Crunch</t>
  </si>
  <si>
    <t xml:space="preserve">Prepreg suppliers move to allocation; lead times double on aerospace-grade material.</t>
  </si>
  <si>
    <t xml:space="preserve">TARIFF_EU</t>
  </si>
  <si>
    <t xml:space="preserve">EU Aerospace Component Tariff</t>
  </si>
  <si>
    <t xml:space="preserve">Moderate</t>
  </si>
  <si>
    <t xml:space="preserve">Proposed tariff on EU-sourced actuators and harnesses; USMCA reshoring partially offsets.</t>
  </si>
  <si>
    <t xml:space="preserve">CYBER</t>
  </si>
  <si>
    <t xml:space="preserve">Tier-1 Supplier Cyber Attack</t>
  </si>
  <si>
    <t xml:space="preserve">Ransomware at a key machined-housing supplier halts deliveries for an estimated 3-5 weeks.</t>
  </si>
  <si>
    <t xml:space="preserve">Event → Budget Line Impacts</t>
  </si>
  <si>
    <t xml:space="preserve">Each row links an Event_ID to a Line_ID it affects, with an impact weight (0-1). Drives the cascade graph.</t>
  </si>
  <si>
    <t xml:space="preserve">Impact_Weight</t>
  </si>
  <si>
    <t xml:space="preserve">Rationale</t>
  </si>
  <si>
    <t xml:space="preserve">Titanium billet — Gulf and Russia routing exposure</t>
  </si>
  <si>
    <t xml:space="preserve">Aluminum-lithium — EGA Abu Dhabi exposure</t>
  </si>
  <si>
    <t xml:space="preserve">Nickel superalloy — Bahrain Aero Alloys</t>
  </si>
  <si>
    <t xml:space="preserve">Fastener stock — Gulf Fastener Industries</t>
  </si>
  <si>
    <t xml:space="preserve">Ocean freight inbound — Gulf lane closure</t>
  </si>
  <si>
    <t xml:space="preserve">Air freight expedite — fallback cost spike</t>
  </si>
  <si>
    <t xml:space="preserve">Marine insurance — war-risk premium surge</t>
  </si>
  <si>
    <t xml:space="preserve">Currency hedging premium — AED/USD volatility</t>
  </si>
  <si>
    <t xml:space="preserve">Titanium billet — direct VSMPO-AVISMA sanctions</t>
  </si>
  <si>
    <t xml:space="preserve">Fastener stock (A286) — titanium-adjacent</t>
  </si>
  <si>
    <t xml:space="preserve">Machined housings — titanium feedstock</t>
  </si>
  <si>
    <t xml:space="preserve">Scrap &amp; rework — material substitution risk</t>
  </si>
  <si>
    <t xml:space="preserve">Carbon fiber prepreg — Asia inbound</t>
  </si>
  <si>
    <t xml:space="preserve">Composite panels — Asia sub-assembly</t>
  </si>
  <si>
    <t xml:space="preserve">Ocean freight — Suez reroute</t>
  </si>
  <si>
    <t xml:space="preserve">Air freight — expedite pressure</t>
  </si>
  <si>
    <t xml:space="preserve">Mitigation Strategies</t>
  </si>
  <si>
    <t xml:space="preserve">Each strategy has composable clauses (semicolon-separated) and a P50 savings in $M. Feasibility: green/amber/red.</t>
  </si>
  <si>
    <t xml:space="preserve">Strategy_ID</t>
  </si>
  <si>
    <t xml:space="preserve">Strategy_Name</t>
  </si>
  <si>
    <t xml:space="preserve">Savings_P50_M</t>
  </si>
  <si>
    <t xml:space="preserve">Lead_Days</t>
  </si>
  <si>
    <t xml:space="preserve">USMCA</t>
  </si>
  <si>
    <t xml:space="preserve">OFAC</t>
  </si>
  <si>
    <t xml:space="preserve">EAR</t>
  </si>
  <si>
    <t xml:space="preserve">Capacity</t>
  </si>
  <si>
    <t xml:space="preserve">Lead_Time</t>
  </si>
  <si>
    <t xml:space="preserve">Compliance</t>
  </si>
  <si>
    <t xml:space="preserve">Clauses (semicolon-separated)</t>
  </si>
  <si>
    <t xml:space="preserve">MIT-001</t>
  </si>
  <si>
    <t xml:space="preserve">Dual-source titanium via TIMET + Howmet</t>
  </si>
  <si>
    <t xml:space="preserve">PASS</t>
  </si>
  <si>
    <t xml:space="preserve">green</t>
  </si>
  <si>
    <t xml:space="preserve">amber</t>
  </si>
  <si>
    <t xml:space="preserve">Dual-source titanium; Extend FX hedge to 90%; Inventory pre-build (60d)</t>
  </si>
  <si>
    <t xml:space="preserve">MIT-002</t>
  </si>
  <si>
    <t xml:space="preserve">Re-route via Pacific + Air-expedite</t>
  </si>
  <si>
    <t xml:space="preserve">Re-route via Pacific corridor; Expedite via air (critical SKUs); Extend FX hedge to 90%</t>
  </si>
  <si>
    <t xml:space="preserve">MIT-003</t>
  </si>
  <si>
    <t xml:space="preserve">Pass-through + Renegotiate</t>
  </si>
  <si>
    <t xml:space="preserve">FAIL</t>
  </si>
  <si>
    <t xml:space="preserve">red</t>
  </si>
  <si>
    <t xml:space="preserve">Price pass-through to OEM; Contract renegotiation; Extend FX hedge to 90%</t>
  </si>
  <si>
    <t xml:space="preserve">MIT-004</t>
  </si>
  <si>
    <t xml:space="preserve">USMCA shift to Querétaro + pre-build</t>
  </si>
  <si>
    <t xml:space="preserve">Shift to Querétaro under USMCA; Inventory pre-build (60d); Extend FX hedge to 90%</t>
  </si>
  <si>
    <t xml:space="preserve">ALT-001</t>
  </si>
  <si>
    <t xml:space="preserve">Price Pass-Through to Key Accounts</t>
  </si>
  <si>
    <t xml:space="preserve">60% pass-through to top 10 OEMs; Invoke MAC / force-majeure clauses</t>
  </si>
  <si>
    <t xml:space="preserve">ALT-002</t>
  </si>
  <si>
    <t xml:space="preserve">FX &amp; Commodity Hedging Expansion</t>
  </si>
  <si>
    <t xml:space="preserve">Extend FX hedge 65% to 90%; Lock Q3-Q4 titanium forwards; Lock aluminum futures</t>
  </si>
  <si>
    <t xml:space="preserve">ALT-003</t>
  </si>
  <si>
    <t xml:space="preserve">Strategic Inventory Drawdown</t>
  </si>
  <si>
    <t xml:space="preserve">Release 60% safety stock; Extend payment terms 60d to 90d; Pause new OEM quotes 30d</t>
  </si>
  <si>
    <t xml:space="preserve">Signal Feed</t>
  </si>
  <si>
    <t xml:space="preserve">Type: geo / commodity / credit / reg. Confidence: red / amber / green. First row with PRESTAGE fires the alert.</t>
  </si>
  <si>
    <t xml:space="preserve">Type</t>
  </si>
  <si>
    <t xml:space="preserve">Signal_Text</t>
  </si>
  <si>
    <t xml:space="preserve">Confidence</t>
  </si>
  <si>
    <t xml:space="preserve">Value_Chip</t>
  </si>
  <si>
    <t xml:space="preserve">geo</t>
  </si>
  <si>
    <t xml:space="preserve">Iranian naval forces escalate Strait of Hormuz patrols — 3 tanker incidents in 48hr [PRESTAGE]</t>
  </si>
  <si>
    <t xml:space="preserve">commodity</t>
  </si>
  <si>
    <t xml:space="preserve">Titanium sponge (aerospace grade)</t>
  </si>
  <si>
    <t xml:space="preserve">+9.2%</t>
  </si>
  <si>
    <t xml:space="preserve">Aluminum-lithium plate (spot)</t>
  </si>
  <si>
    <t xml:space="preserve">+4.1%</t>
  </si>
  <si>
    <t xml:space="preserve">Carbon fiber prepreg index</t>
  </si>
  <si>
    <t xml:space="preserve">+5.8%</t>
  </si>
  <si>
    <t xml:space="preserve">Nickel LME 3M</t>
  </si>
  <si>
    <t xml:space="preserve">+3.4%</t>
  </si>
  <si>
    <t xml:space="preserve">Jet fuel (US Gulf)</t>
  </si>
  <si>
    <t xml:space="preserve">+6.1%</t>
  </si>
  <si>
    <t xml:space="preserve">credit</t>
  </si>
  <si>
    <t xml:space="preserve">VSMPO-AVISMA — sanctions watch escalated</t>
  </si>
  <si>
    <t xml:space="preserve">Safran — Moody's affirms A-</t>
  </si>
  <si>
    <t xml:space="preserve">reg</t>
  </si>
  <si>
    <t xml:space="preserve">BIS expands titanium-related Entity List entries</t>
  </si>
  <si>
    <t xml:space="preserve">FAA issues supply-chain resilience advisory</t>
  </si>
  <si>
    <t xml:space="preserve">Red Sea: 3 vessels rerouted via Cape of Good Hope</t>
  </si>
  <si>
    <t xml:space="preserve">Ocean freight (Asia to USWC)</t>
  </si>
  <si>
    <t xml:space="preserve">+14.2%</t>
  </si>
  <si>
    <t xml:space="preserve">War-risk insurance (Persian Gulf)</t>
  </si>
  <si>
    <t xml:space="preserve">+310%</t>
  </si>
  <si>
    <t xml:space="preserve">IMO bulletin: Hormuz transit advisory raised to level 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</si>
</sst>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0.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2563EB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FFFFF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AF1FB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C7" s="4" t="s">
        <v>3</v>
      </c>
    </row>
    <row r="8" customFormat="false" ht="15" hidden="false" customHeight="false" outlineLevel="0" collapsed="false">
      <c r="C8" s="4" t="s">
        <v>4</v>
      </c>
    </row>
    <row r="9" customFormat="false" ht="15" hidden="false" customHeight="false" outlineLevel="0" collapsed="false">
      <c r="C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C12" s="4" t="s">
        <v>7</v>
      </c>
    </row>
    <row r="13" customFormat="false" ht="15" hidden="false" customHeight="false" outlineLevel="0" collapsed="false">
      <c r="C13" s="4" t="s">
        <v>8</v>
      </c>
    </row>
    <row r="14" customFormat="false" ht="15" hidden="false" customHeight="false" outlineLevel="0" collapsed="false">
      <c r="C14" s="4" t="s">
        <v>9</v>
      </c>
    </row>
    <row r="15" customFormat="false" ht="15" hidden="false" customHeight="false" outlineLevel="0" collapsed="false">
      <c r="C15" s="4" t="s">
        <v>10</v>
      </c>
    </row>
    <row r="16" customFormat="false" ht="15" hidden="false" customHeight="false" outlineLevel="0" collapsed="false">
      <c r="C16" s="4" t="s">
        <v>11</v>
      </c>
    </row>
    <row r="17" customFormat="false" ht="15" hidden="false" customHeight="false" outlineLevel="0" collapsed="false">
      <c r="C17" s="4" t="s">
        <v>12</v>
      </c>
    </row>
    <row r="18" customFormat="false" ht="15" hidden="false" customHeight="false" outlineLevel="0" collapsed="false">
      <c r="C18" s="4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C21" s="4" t="s">
        <v>15</v>
      </c>
    </row>
    <row r="22" customFormat="false" ht="15" hidden="false" customHeight="false" outlineLevel="0" collapsed="false">
      <c r="C22" s="4" t="s">
        <v>16</v>
      </c>
    </row>
    <row r="23" customFormat="false" ht="15" hidden="false" customHeight="false" outlineLevel="0" collapsed="false">
      <c r="C23" s="4" t="s">
        <v>17</v>
      </c>
    </row>
    <row r="24" customFormat="false" ht="15" hidden="false" customHeight="false" outlineLevel="0" collapsed="false">
      <c r="C24" s="4" t="s">
        <v>18</v>
      </c>
    </row>
    <row r="26" customFormat="false" ht="15" hidden="false" customHeight="false" outlineLevel="0" collapsed="false">
      <c r="B26" s="5" t="s">
        <v>19</v>
      </c>
    </row>
    <row r="27" customFormat="false" ht="15" hidden="false" customHeight="false" outlineLevel="0" collapsed="false">
      <c r="C27" s="4" t="s">
        <v>20</v>
      </c>
    </row>
    <row r="28" customFormat="false" ht="15" hidden="false" customHeight="false" outlineLevel="0" collapsed="false">
      <c r="C28" s="4" t="s">
        <v>21</v>
      </c>
    </row>
    <row r="29" customFormat="false" ht="15" hidden="false" customHeight="false" outlineLevel="0" collapsed="false">
      <c r="C29" s="4" t="s">
        <v>22</v>
      </c>
    </row>
    <row r="30" customFormat="false" ht="15" hidden="false" customHeight="false" outlineLevel="0" collapsed="false">
      <c r="C30" s="4" t="s">
        <v>23</v>
      </c>
    </row>
    <row r="31" customFormat="false" ht="15" hidden="false" customHeight="false" outlineLevel="0" collapsed="false">
      <c r="C31" s="4" t="s">
        <v>24</v>
      </c>
    </row>
    <row r="32" customFormat="false" ht="15" hidden="false" customHeight="false" outlineLevel="0" collapsed="false">
      <c r="C32" s="4" t="s">
        <v>25</v>
      </c>
    </row>
    <row r="33" customFormat="false" ht="15" hidden="false" customHeight="false" outlineLevel="0" collapsed="false">
      <c r="C33" s="4" t="s">
        <v>26</v>
      </c>
    </row>
    <row r="34" customFormat="false" ht="15" hidden="false" customHeight="false" outlineLevel="0" collapsed="false">
      <c r="C34" s="4" t="s">
        <v>27</v>
      </c>
    </row>
    <row r="36" customFormat="false" ht="15" hidden="false" customHeight="false" outlineLevel="0" collapsed="false">
      <c r="B36" s="3" t="s">
        <v>28</v>
      </c>
    </row>
    <row r="37" customFormat="false" ht="15" hidden="false" customHeight="false" outlineLevel="0" collapsed="false">
      <c r="C37" s="4" t="s">
        <v>29</v>
      </c>
    </row>
    <row r="38" customFormat="false" ht="15" hidden="false" customHeight="false" outlineLevel="0" collapsed="false">
      <c r="C38" s="4" t="s">
        <v>30</v>
      </c>
    </row>
    <row r="39" customFormat="false" ht="15" hidden="false" customHeight="false" outlineLevel="0" collapsed="false">
      <c r="C39" s="4" t="s">
        <v>31</v>
      </c>
    </row>
    <row r="40" customFormat="false" ht="15" hidden="false" customHeight="false" outlineLevel="0" collapsed="false">
      <c r="C40" s="4" t="s">
        <v>32</v>
      </c>
    </row>
    <row r="42" customFormat="false" ht="15" hidden="false" customHeight="false" outlineLevel="0" collapsed="false">
      <c r="B42" s="3" t="s">
        <v>33</v>
      </c>
    </row>
    <row r="43" customFormat="false" ht="15" hidden="false" customHeight="false" outlineLevel="0" collapsed="false">
      <c r="C43" s="4" t="s">
        <v>34</v>
      </c>
    </row>
    <row r="44" customFormat="false" ht="15" hidden="false" customHeight="false" outlineLevel="0" collapsed="false">
      <c r="C44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1" t="s">
        <v>36</v>
      </c>
    </row>
    <row r="4" customFormat="false" ht="15" hidden="false" customHeight="false" outlineLevel="0" collapsed="false">
      <c r="B4" s="6" t="s">
        <v>37</v>
      </c>
      <c r="C4" s="6" t="s">
        <v>38</v>
      </c>
      <c r="D4" s="6" t="s">
        <v>39</v>
      </c>
    </row>
    <row r="5" customFormat="false" ht="15" hidden="false" customHeight="false" outlineLevel="0" collapsed="false">
      <c r="B5" s="7" t="s">
        <v>40</v>
      </c>
      <c r="C5" s="8" t="s">
        <v>41</v>
      </c>
      <c r="D5" s="7" t="s">
        <v>42</v>
      </c>
    </row>
    <row r="6" customFormat="false" ht="15" hidden="false" customHeight="false" outlineLevel="0" collapsed="false">
      <c r="B6" s="7" t="s">
        <v>43</v>
      </c>
      <c r="C6" s="8" t="s">
        <v>44</v>
      </c>
      <c r="D6" s="7" t="s">
        <v>45</v>
      </c>
    </row>
    <row r="7" customFormat="false" ht="15" hidden="false" customHeight="false" outlineLevel="0" collapsed="false">
      <c r="B7" s="7" t="s">
        <v>46</v>
      </c>
      <c r="C7" s="8" t="s">
        <v>47</v>
      </c>
      <c r="D7" s="7" t="s">
        <v>48</v>
      </c>
    </row>
    <row r="8" customFormat="false" ht="15" hidden="false" customHeight="false" outlineLevel="0" collapsed="false">
      <c r="B8" s="7" t="s">
        <v>49</v>
      </c>
      <c r="C8" s="8" t="n">
        <v>360000000</v>
      </c>
      <c r="D8" s="7" t="s">
        <v>50</v>
      </c>
    </row>
    <row r="9" customFormat="false" ht="15" hidden="false" customHeight="false" outlineLevel="0" collapsed="false">
      <c r="B9" s="7" t="s">
        <v>51</v>
      </c>
      <c r="C9" s="8" t="n">
        <v>252760000</v>
      </c>
      <c r="D9" s="7" t="s">
        <v>52</v>
      </c>
    </row>
    <row r="10" customFormat="false" ht="15" hidden="false" customHeight="false" outlineLevel="0" collapsed="false">
      <c r="B10" s="7" t="s">
        <v>53</v>
      </c>
      <c r="C10" s="8" t="n">
        <v>3100</v>
      </c>
      <c r="D10" s="7" t="s">
        <v>54</v>
      </c>
    </row>
    <row r="11" customFormat="false" ht="15" hidden="false" customHeight="false" outlineLevel="0" collapsed="false">
      <c r="B11" s="7" t="s">
        <v>55</v>
      </c>
      <c r="C11" s="8" t="s">
        <v>56</v>
      </c>
      <c r="D11" s="7" t="s">
        <v>57</v>
      </c>
    </row>
    <row r="12" customFormat="false" ht="15" hidden="false" customHeight="false" outlineLevel="0" collapsed="false">
      <c r="B12" s="7" t="s">
        <v>58</v>
      </c>
      <c r="C12" s="8" t="s">
        <v>59</v>
      </c>
      <c r="D12" s="7"/>
    </row>
    <row r="13" customFormat="false" ht="15" hidden="false" customHeight="false" outlineLevel="0" collapsed="false">
      <c r="B13" s="7" t="s">
        <v>60</v>
      </c>
      <c r="C13" s="8" t="s">
        <v>61</v>
      </c>
      <c r="D13" s="7"/>
    </row>
    <row r="14" customFormat="false" ht="15" hidden="false" customHeight="false" outlineLevel="0" collapsed="false">
      <c r="B14" s="7" t="s">
        <v>62</v>
      </c>
      <c r="C14" s="8" t="s">
        <v>63</v>
      </c>
      <c r="D14" s="7"/>
    </row>
    <row r="15" customFormat="false" ht="15" hidden="false" customHeight="false" outlineLevel="0" collapsed="false">
      <c r="B15" s="7" t="s">
        <v>64</v>
      </c>
      <c r="C15" s="8" t="s">
        <v>65</v>
      </c>
      <c r="D15" s="7"/>
    </row>
    <row r="16" customFormat="false" ht="15" hidden="false" customHeight="false" outlineLevel="0" collapsed="false">
      <c r="B16" s="7" t="s">
        <v>66</v>
      </c>
      <c r="C16" s="8" t="n">
        <v>38</v>
      </c>
      <c r="D16" s="7" t="s">
        <v>67</v>
      </c>
    </row>
    <row r="17" customFormat="false" ht="15" hidden="false" customHeight="false" outlineLevel="0" collapsed="false">
      <c r="B17" s="7" t="s">
        <v>68</v>
      </c>
      <c r="C17" s="8" t="n">
        <v>36.2</v>
      </c>
      <c r="D17" s="7" t="s">
        <v>69</v>
      </c>
    </row>
    <row r="18" customFormat="false" ht="15" hidden="false" customHeight="false" outlineLevel="0" collapsed="false">
      <c r="B18" s="7" t="s">
        <v>70</v>
      </c>
      <c r="C18" s="8" t="n">
        <v>17</v>
      </c>
      <c r="D18" s="7"/>
    </row>
    <row r="19" customFormat="false" ht="15" hidden="false" customHeight="false" outlineLevel="0" collapsed="false">
      <c r="B19" s="7" t="s">
        <v>71</v>
      </c>
      <c r="C19" s="8" t="n">
        <v>15.8</v>
      </c>
      <c r="D19" s="7"/>
    </row>
    <row r="20" customFormat="false" ht="15" hidden="false" customHeight="false" outlineLevel="0" collapsed="false">
      <c r="B20" s="7" t="s">
        <v>72</v>
      </c>
      <c r="C20" s="8" t="n">
        <v>4.2</v>
      </c>
      <c r="D20" s="7" t="s">
        <v>73</v>
      </c>
    </row>
    <row r="21" customFormat="false" ht="15" hidden="false" customHeight="false" outlineLevel="0" collapsed="false">
      <c r="B21" s="7" t="s">
        <v>74</v>
      </c>
      <c r="C21" s="8" t="n">
        <v>65</v>
      </c>
      <c r="D21" s="7" t="s">
        <v>75</v>
      </c>
    </row>
    <row r="22" customFormat="false" ht="15" hidden="false" customHeight="false" outlineLevel="0" collapsed="false">
      <c r="B22" s="7" t="s">
        <v>76</v>
      </c>
      <c r="C22" s="8" t="s">
        <v>77</v>
      </c>
      <c r="D22" s="7" t="s">
        <v>78</v>
      </c>
    </row>
    <row r="23" customFormat="false" ht="15" hidden="false" customHeight="false" outlineLevel="0" collapsed="false">
      <c r="B23" s="7" t="s">
        <v>79</v>
      </c>
      <c r="C23" s="8" t="n">
        <v>14</v>
      </c>
      <c r="D23" s="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22"/>
  </cols>
  <sheetData>
    <row r="2" customFormat="false" ht="19.7" hidden="false" customHeight="false" outlineLevel="0" collapsed="false">
      <c r="B2" s="1" t="s">
        <v>81</v>
      </c>
    </row>
    <row r="3" customFormat="false" ht="15" hidden="false" customHeight="false" outlineLevel="0" collapsed="false">
      <c r="B3" s="9" t="s">
        <v>82</v>
      </c>
    </row>
    <row r="5" customFormat="false" ht="15" hidden="false" customHeight="false" outlineLevel="0" collapsed="false">
      <c r="B5" s="10" t="s">
        <v>83</v>
      </c>
      <c r="C5" s="10" t="s">
        <v>84</v>
      </c>
      <c r="D5" s="10" t="s">
        <v>85</v>
      </c>
      <c r="E5" s="10" t="s">
        <v>86</v>
      </c>
      <c r="F5" s="10" t="s">
        <v>87</v>
      </c>
      <c r="G5" s="10" t="s">
        <v>88</v>
      </c>
      <c r="H5" s="10" t="s">
        <v>89</v>
      </c>
    </row>
    <row r="6" customFormat="false" ht="15" hidden="false" customHeight="false" outlineLevel="0" collapsed="false">
      <c r="B6" s="7" t="s">
        <v>90</v>
      </c>
      <c r="C6" s="7" t="s">
        <v>91</v>
      </c>
      <c r="D6" s="7" t="s">
        <v>92</v>
      </c>
      <c r="E6" s="11" t="n">
        <f aca="false">ROUND(F6/(1+G6),0)</f>
        <v>17777778</v>
      </c>
      <c r="F6" s="12" t="n">
        <v>18400000</v>
      </c>
      <c r="G6" s="13" t="n">
        <v>0.035</v>
      </c>
      <c r="H6" s="7" t="s">
        <v>93</v>
      </c>
    </row>
    <row r="7" customFormat="false" ht="15" hidden="false" customHeight="false" outlineLevel="0" collapsed="false">
      <c r="B7" s="7" t="s">
        <v>94</v>
      </c>
      <c r="C7" s="7" t="s">
        <v>95</v>
      </c>
      <c r="D7" s="7" t="s">
        <v>92</v>
      </c>
      <c r="E7" s="11" t="n">
        <f aca="false">ROUND(F7/(1+G7),0)</f>
        <v>11787440</v>
      </c>
      <c r="F7" s="12" t="n">
        <v>12200000</v>
      </c>
      <c r="G7" s="13" t="n">
        <v>0.035</v>
      </c>
      <c r="H7" s="7" t="s">
        <v>93</v>
      </c>
    </row>
    <row r="8" customFormat="false" ht="15" hidden="false" customHeight="false" outlineLevel="0" collapsed="false">
      <c r="B8" s="7" t="s">
        <v>96</v>
      </c>
      <c r="C8" s="7" t="s">
        <v>97</v>
      </c>
      <c r="D8" s="7" t="s">
        <v>92</v>
      </c>
      <c r="E8" s="11" t="n">
        <f aca="false">ROUND(F8/(1+G8),0)</f>
        <v>9468599</v>
      </c>
      <c r="F8" s="12" t="n">
        <v>9800000</v>
      </c>
      <c r="G8" s="13" t="n">
        <v>0.035</v>
      </c>
      <c r="H8" s="7" t="s">
        <v>93</v>
      </c>
    </row>
    <row r="9" customFormat="false" ht="15" hidden="false" customHeight="false" outlineLevel="0" collapsed="false">
      <c r="B9" s="7" t="s">
        <v>98</v>
      </c>
      <c r="C9" s="7" t="s">
        <v>99</v>
      </c>
      <c r="D9" s="7" t="s">
        <v>92</v>
      </c>
      <c r="E9" s="11" t="n">
        <f aca="false">ROUND(F9/(1+G9),0)</f>
        <v>7342995</v>
      </c>
      <c r="F9" s="12" t="n">
        <v>7600000</v>
      </c>
      <c r="G9" s="13" t="n">
        <v>0.035</v>
      </c>
      <c r="H9" s="7" t="s">
        <v>93</v>
      </c>
    </row>
    <row r="10" customFormat="false" ht="15" hidden="false" customHeight="false" outlineLevel="0" collapsed="false">
      <c r="B10" s="7" t="s">
        <v>100</v>
      </c>
      <c r="C10" s="7" t="s">
        <v>101</v>
      </c>
      <c r="D10" s="7" t="s">
        <v>92</v>
      </c>
      <c r="E10" s="11" t="n">
        <f aca="false">ROUND(F10/(1+G10),0)</f>
        <v>5217391</v>
      </c>
      <c r="F10" s="12" t="n">
        <v>5400000</v>
      </c>
      <c r="G10" s="13" t="n">
        <v>0.035</v>
      </c>
      <c r="H10" s="7" t="s">
        <v>93</v>
      </c>
    </row>
    <row r="11" customFormat="false" ht="15" hidden="false" customHeight="false" outlineLevel="0" collapsed="false">
      <c r="B11" s="7" t="s">
        <v>102</v>
      </c>
      <c r="C11" s="7" t="s">
        <v>103</v>
      </c>
      <c r="D11" s="7" t="s">
        <v>92</v>
      </c>
      <c r="E11" s="11" t="n">
        <f aca="false">ROUND(F11/(1+G11),0)</f>
        <v>2995169</v>
      </c>
      <c r="F11" s="12" t="n">
        <v>3100000</v>
      </c>
      <c r="G11" s="13" t="n">
        <v>0.035</v>
      </c>
      <c r="H11" s="7" t="s">
        <v>93</v>
      </c>
    </row>
    <row r="12" customFormat="false" ht="15" hidden="false" customHeight="false" outlineLevel="0" collapsed="false">
      <c r="B12" s="7" t="s">
        <v>104</v>
      </c>
      <c r="C12" s="7" t="s">
        <v>105</v>
      </c>
      <c r="D12" s="7" t="s">
        <v>92</v>
      </c>
      <c r="E12" s="11" t="n">
        <f aca="false">ROUND(F12/(1+G12),0)</f>
        <v>2318841</v>
      </c>
      <c r="F12" s="12" t="n">
        <v>2400000</v>
      </c>
      <c r="G12" s="13" t="n">
        <v>0.035</v>
      </c>
      <c r="H12" s="7" t="s">
        <v>93</v>
      </c>
    </row>
    <row r="13" customFormat="false" ht="15" hidden="false" customHeight="false" outlineLevel="0" collapsed="false">
      <c r="B13" s="7" t="s">
        <v>106</v>
      </c>
      <c r="C13" s="7" t="s">
        <v>107</v>
      </c>
      <c r="D13" s="7" t="s">
        <v>92</v>
      </c>
      <c r="E13" s="11" t="n">
        <f aca="false">ROUND(F13/(1+G13),0)</f>
        <v>1739130</v>
      </c>
      <c r="F13" s="12" t="n">
        <v>1800000</v>
      </c>
      <c r="G13" s="13" t="n">
        <v>0.035</v>
      </c>
      <c r="H13" s="7" t="s">
        <v>93</v>
      </c>
    </row>
    <row r="14" customFormat="false" ht="15" hidden="false" customHeight="false" outlineLevel="0" collapsed="false">
      <c r="B14" s="7" t="s">
        <v>108</v>
      </c>
      <c r="C14" s="7" t="s">
        <v>109</v>
      </c>
      <c r="D14" s="7" t="s">
        <v>110</v>
      </c>
      <c r="E14" s="11" t="n">
        <f aca="false">ROUND(F14/(1+G14),0)</f>
        <v>8599034</v>
      </c>
      <c r="F14" s="12" t="n">
        <v>8900000</v>
      </c>
      <c r="G14" s="13" t="n">
        <v>0.035</v>
      </c>
      <c r="H14" s="7" t="s">
        <v>93</v>
      </c>
    </row>
    <row r="15" customFormat="false" ht="15" hidden="false" customHeight="false" outlineLevel="0" collapsed="false">
      <c r="B15" s="7" t="s">
        <v>111</v>
      </c>
      <c r="C15" s="7" t="s">
        <v>112</v>
      </c>
      <c r="D15" s="7" t="s">
        <v>110</v>
      </c>
      <c r="E15" s="11" t="n">
        <f aca="false">ROUND(F15/(1+G15),0)</f>
        <v>6956522</v>
      </c>
      <c r="F15" s="12" t="n">
        <v>7200000</v>
      </c>
      <c r="G15" s="13" t="n">
        <v>0.035</v>
      </c>
      <c r="H15" s="7" t="s">
        <v>93</v>
      </c>
    </row>
    <row r="16" customFormat="false" ht="15" hidden="false" customHeight="false" outlineLevel="0" collapsed="false">
      <c r="B16" s="7" t="s">
        <v>113</v>
      </c>
      <c r="C16" s="7" t="s">
        <v>114</v>
      </c>
      <c r="D16" s="7" t="s">
        <v>110</v>
      </c>
      <c r="E16" s="11" t="n">
        <f aca="false">ROUND(F16/(1+G16),0)</f>
        <v>5893720</v>
      </c>
      <c r="F16" s="12" t="n">
        <v>6100000</v>
      </c>
      <c r="G16" s="13" t="n">
        <v>0.035</v>
      </c>
      <c r="H16" s="7" t="s">
        <v>93</v>
      </c>
    </row>
    <row r="17" customFormat="false" ht="15" hidden="false" customHeight="false" outlineLevel="0" collapsed="false">
      <c r="B17" s="7" t="s">
        <v>115</v>
      </c>
      <c r="C17" s="7" t="s">
        <v>116</v>
      </c>
      <c r="D17" s="7" t="s">
        <v>110</v>
      </c>
      <c r="E17" s="11" t="n">
        <f aca="false">ROUND(F17/(1+G17),0)</f>
        <v>4637681</v>
      </c>
      <c r="F17" s="12" t="n">
        <v>4800000</v>
      </c>
      <c r="G17" s="13" t="n">
        <v>0.035</v>
      </c>
      <c r="H17" s="7" t="s">
        <v>93</v>
      </c>
    </row>
    <row r="18" customFormat="false" ht="15" hidden="false" customHeight="false" outlineLevel="0" collapsed="false">
      <c r="B18" s="7" t="s">
        <v>117</v>
      </c>
      <c r="C18" s="7" t="s">
        <v>118</v>
      </c>
      <c r="D18" s="7" t="s">
        <v>110</v>
      </c>
      <c r="E18" s="11" t="n">
        <f aca="false">ROUND(F18/(1+G18),0)</f>
        <v>4057971</v>
      </c>
      <c r="F18" s="12" t="n">
        <v>4200000</v>
      </c>
      <c r="G18" s="13" t="n">
        <v>0.035</v>
      </c>
      <c r="H18" s="7" t="s">
        <v>93</v>
      </c>
    </row>
    <row r="19" customFormat="false" ht="15" hidden="false" customHeight="false" outlineLevel="0" collapsed="false">
      <c r="B19" s="7" t="s">
        <v>119</v>
      </c>
      <c r="C19" s="7" t="s">
        <v>120</v>
      </c>
      <c r="D19" s="7" t="s">
        <v>110</v>
      </c>
      <c r="E19" s="11" t="n">
        <f aca="false">ROUND(F19/(1+G19),0)</f>
        <v>3478261</v>
      </c>
      <c r="F19" s="12" t="n">
        <v>3600000</v>
      </c>
      <c r="G19" s="13" t="n">
        <v>0.035</v>
      </c>
      <c r="H19" s="7" t="s">
        <v>93</v>
      </c>
    </row>
    <row r="20" customFormat="false" ht="15" hidden="false" customHeight="false" outlineLevel="0" collapsed="false">
      <c r="B20" s="7" t="s">
        <v>121</v>
      </c>
      <c r="C20" s="7" t="s">
        <v>122</v>
      </c>
      <c r="D20" s="7" t="s">
        <v>110</v>
      </c>
      <c r="E20" s="11" t="n">
        <f aca="false">ROUND(F20/(1+G20),0)</f>
        <v>5120773</v>
      </c>
      <c r="F20" s="12" t="n">
        <v>5300000</v>
      </c>
      <c r="G20" s="13" t="n">
        <v>0.035</v>
      </c>
      <c r="H20" s="7" t="s">
        <v>93</v>
      </c>
    </row>
    <row r="21" customFormat="false" ht="15" hidden="false" customHeight="false" outlineLevel="0" collapsed="false">
      <c r="B21" s="7" t="s">
        <v>123</v>
      </c>
      <c r="C21" s="7" t="s">
        <v>124</v>
      </c>
      <c r="D21" s="7" t="s">
        <v>110</v>
      </c>
      <c r="E21" s="11" t="n">
        <f aca="false">ROUND(F21/(1+G21),0)</f>
        <v>2125604</v>
      </c>
      <c r="F21" s="12" t="n">
        <v>2200000</v>
      </c>
      <c r="G21" s="13" t="n">
        <v>0.035</v>
      </c>
      <c r="H21" s="7" t="s">
        <v>93</v>
      </c>
    </row>
    <row r="22" customFormat="false" ht="15" hidden="false" customHeight="false" outlineLevel="0" collapsed="false">
      <c r="B22" s="7" t="s">
        <v>125</v>
      </c>
      <c r="C22" s="7" t="s">
        <v>126</v>
      </c>
      <c r="D22" s="7" t="s">
        <v>127</v>
      </c>
      <c r="E22" s="11" t="n">
        <f aca="false">ROUND(F22/(1+G22),0)</f>
        <v>14299517</v>
      </c>
      <c r="F22" s="12" t="n">
        <v>14800000</v>
      </c>
      <c r="G22" s="13" t="n">
        <v>0.035</v>
      </c>
      <c r="H22" s="7" t="s">
        <v>93</v>
      </c>
    </row>
    <row r="23" customFormat="false" ht="15" hidden="false" customHeight="false" outlineLevel="0" collapsed="false">
      <c r="B23" s="7" t="s">
        <v>128</v>
      </c>
      <c r="C23" s="7" t="s">
        <v>129</v>
      </c>
      <c r="D23" s="7" t="s">
        <v>127</v>
      </c>
      <c r="E23" s="11" t="n">
        <f aca="false">ROUND(F23/(1+G23),0)</f>
        <v>10821256</v>
      </c>
      <c r="F23" s="12" t="n">
        <v>11200000</v>
      </c>
      <c r="G23" s="13" t="n">
        <v>0.035</v>
      </c>
      <c r="H23" s="7" t="s">
        <v>93</v>
      </c>
    </row>
    <row r="24" customFormat="false" ht="15" hidden="false" customHeight="false" outlineLevel="0" collapsed="false">
      <c r="B24" s="7" t="s">
        <v>130</v>
      </c>
      <c r="C24" s="7" t="s">
        <v>131</v>
      </c>
      <c r="D24" s="7" t="s">
        <v>127</v>
      </c>
      <c r="E24" s="11" t="n">
        <f aca="false">ROUND(F24/(1+G24),0)</f>
        <v>6183575</v>
      </c>
      <c r="F24" s="12" t="n">
        <v>6400000</v>
      </c>
      <c r="G24" s="13" t="n">
        <v>0.035</v>
      </c>
      <c r="H24" s="7" t="s">
        <v>93</v>
      </c>
    </row>
    <row r="25" customFormat="false" ht="15" hidden="false" customHeight="false" outlineLevel="0" collapsed="false">
      <c r="B25" s="7" t="s">
        <v>132</v>
      </c>
      <c r="C25" s="7" t="s">
        <v>133</v>
      </c>
      <c r="D25" s="7" t="s">
        <v>127</v>
      </c>
      <c r="E25" s="11" t="n">
        <f aca="false">ROUND(F25/(1+G25),0)</f>
        <v>5603865</v>
      </c>
      <c r="F25" s="12" t="n">
        <v>5800000</v>
      </c>
      <c r="G25" s="13" t="n">
        <v>0.035</v>
      </c>
      <c r="H25" s="7" t="s">
        <v>93</v>
      </c>
    </row>
    <row r="26" customFormat="false" ht="15" hidden="false" customHeight="false" outlineLevel="0" collapsed="false">
      <c r="B26" s="7" t="s">
        <v>134</v>
      </c>
      <c r="C26" s="7" t="s">
        <v>135</v>
      </c>
      <c r="D26" s="7" t="s">
        <v>127</v>
      </c>
      <c r="E26" s="11" t="n">
        <f aca="false">ROUND(F26/(1+G26),0)</f>
        <v>3091787</v>
      </c>
      <c r="F26" s="12" t="n">
        <v>3200000</v>
      </c>
      <c r="G26" s="13" t="n">
        <v>0.035</v>
      </c>
      <c r="H26" s="7" t="s">
        <v>93</v>
      </c>
    </row>
    <row r="27" customFormat="false" ht="15" hidden="false" customHeight="false" outlineLevel="0" collapsed="false">
      <c r="B27" s="7" t="s">
        <v>136</v>
      </c>
      <c r="C27" s="7" t="s">
        <v>137</v>
      </c>
      <c r="D27" s="7" t="s">
        <v>138</v>
      </c>
      <c r="E27" s="11" t="n">
        <f aca="false">ROUND(F27/(1+G27),0)</f>
        <v>3961353</v>
      </c>
      <c r="F27" s="12" t="n">
        <v>4100000</v>
      </c>
      <c r="G27" s="13" t="n">
        <v>0.035</v>
      </c>
      <c r="H27" s="7" t="s">
        <v>93</v>
      </c>
    </row>
    <row r="28" customFormat="false" ht="15" hidden="false" customHeight="false" outlineLevel="0" collapsed="false">
      <c r="B28" s="7" t="s">
        <v>139</v>
      </c>
      <c r="C28" s="7" t="s">
        <v>140</v>
      </c>
      <c r="D28" s="7" t="s">
        <v>138</v>
      </c>
      <c r="E28" s="11" t="n">
        <f aca="false">ROUND(F28/(1+G28),0)</f>
        <v>3188406</v>
      </c>
      <c r="F28" s="12" t="n">
        <v>3300000</v>
      </c>
      <c r="G28" s="13" t="n">
        <v>0.035</v>
      </c>
      <c r="H28" s="7" t="s">
        <v>93</v>
      </c>
    </row>
    <row r="29" customFormat="false" ht="15" hidden="false" customHeight="false" outlineLevel="0" collapsed="false">
      <c r="B29" s="7" t="s">
        <v>141</v>
      </c>
      <c r="C29" s="7" t="s">
        <v>142</v>
      </c>
      <c r="D29" s="7" t="s">
        <v>138</v>
      </c>
      <c r="E29" s="11" t="n">
        <f aca="false">ROUND(F29/(1+G29),0)</f>
        <v>2512077</v>
      </c>
      <c r="F29" s="12" t="n">
        <v>2600000</v>
      </c>
      <c r="G29" s="13" t="n">
        <v>0.035</v>
      </c>
      <c r="H29" s="7" t="s">
        <v>93</v>
      </c>
    </row>
    <row r="30" customFormat="false" ht="15" hidden="false" customHeight="false" outlineLevel="0" collapsed="false">
      <c r="B30" s="7" t="s">
        <v>143</v>
      </c>
      <c r="C30" s="7" t="s">
        <v>144</v>
      </c>
      <c r="D30" s="7" t="s">
        <v>138</v>
      </c>
      <c r="E30" s="11" t="n">
        <f aca="false">ROUND(F30/(1+G30),0)</f>
        <v>1352657</v>
      </c>
      <c r="F30" s="12" t="n">
        <v>1400000</v>
      </c>
      <c r="G30" s="13" t="n">
        <v>0.035</v>
      </c>
      <c r="H30" s="7" t="s">
        <v>93</v>
      </c>
    </row>
    <row r="31" customFormat="false" ht="15" hidden="false" customHeight="false" outlineLevel="0" collapsed="false">
      <c r="B31" s="7" t="s">
        <v>145</v>
      </c>
      <c r="C31" s="7" t="s">
        <v>146</v>
      </c>
      <c r="D31" s="7" t="s">
        <v>138</v>
      </c>
      <c r="E31" s="11" t="n">
        <f aca="false">ROUND(F31/(1+G31),0)</f>
        <v>2801932</v>
      </c>
      <c r="F31" s="12" t="n">
        <v>2900000</v>
      </c>
      <c r="G31" s="13" t="n">
        <v>0.035</v>
      </c>
      <c r="H31" s="7" t="s">
        <v>93</v>
      </c>
    </row>
    <row r="32" customFormat="false" ht="15" hidden="false" customHeight="false" outlineLevel="0" collapsed="false">
      <c r="B32" s="7" t="s">
        <v>147</v>
      </c>
      <c r="C32" s="7" t="s">
        <v>148</v>
      </c>
      <c r="D32" s="7" t="s">
        <v>138</v>
      </c>
      <c r="E32" s="11" t="n">
        <f aca="false">ROUND(F32/(1+G32),0)</f>
        <v>946860</v>
      </c>
      <c r="F32" s="12" t="n">
        <v>980000</v>
      </c>
      <c r="G32" s="13" t="n">
        <v>0.035</v>
      </c>
      <c r="H32" s="7" t="s">
        <v>93</v>
      </c>
    </row>
    <row r="33" customFormat="false" ht="15" hidden="false" customHeight="false" outlineLevel="0" collapsed="false">
      <c r="B33" s="7" t="s">
        <v>149</v>
      </c>
      <c r="C33" s="7" t="s">
        <v>150</v>
      </c>
      <c r="D33" s="7" t="s">
        <v>138</v>
      </c>
      <c r="E33" s="11" t="n">
        <f aca="false">ROUND(F33/(1+G33),0)</f>
        <v>599034</v>
      </c>
      <c r="F33" s="12" t="n">
        <v>620000</v>
      </c>
      <c r="G33" s="13" t="n">
        <v>0.035</v>
      </c>
      <c r="H33" s="7" t="s">
        <v>93</v>
      </c>
    </row>
    <row r="34" customFormat="false" ht="15" hidden="false" customHeight="false" outlineLevel="0" collapsed="false">
      <c r="B34" s="7" t="s">
        <v>151</v>
      </c>
      <c r="C34" s="7" t="s">
        <v>152</v>
      </c>
      <c r="D34" s="7" t="s">
        <v>153</v>
      </c>
      <c r="E34" s="11" t="n">
        <f aca="false">ROUND(F34/(1+G34),0)</f>
        <v>4057971</v>
      </c>
      <c r="F34" s="12" t="n">
        <v>4200000</v>
      </c>
      <c r="G34" s="13" t="n">
        <v>0.035</v>
      </c>
      <c r="H34" s="7" t="s">
        <v>93</v>
      </c>
    </row>
    <row r="35" customFormat="false" ht="15" hidden="false" customHeight="false" outlineLevel="0" collapsed="false">
      <c r="B35" s="7" t="s">
        <v>154</v>
      </c>
      <c r="C35" s="7" t="s">
        <v>155</v>
      </c>
      <c r="D35" s="7" t="s">
        <v>153</v>
      </c>
      <c r="E35" s="11" t="n">
        <f aca="false">ROUND(F35/(1+G35),0)</f>
        <v>2705314</v>
      </c>
      <c r="F35" s="12" t="n">
        <v>2800000</v>
      </c>
      <c r="G35" s="13" t="n">
        <v>0.035</v>
      </c>
      <c r="H35" s="7" t="s">
        <v>93</v>
      </c>
    </row>
    <row r="36" customFormat="false" ht="15" hidden="false" customHeight="false" outlineLevel="0" collapsed="false">
      <c r="B36" s="7" t="s">
        <v>156</v>
      </c>
      <c r="C36" s="7" t="s">
        <v>157</v>
      </c>
      <c r="D36" s="7" t="s">
        <v>153</v>
      </c>
      <c r="E36" s="11" t="n">
        <f aca="false">ROUND(F36/(1+G36),0)</f>
        <v>2028986</v>
      </c>
      <c r="F36" s="12" t="n">
        <v>2100000</v>
      </c>
      <c r="G36" s="13" t="n">
        <v>0.035</v>
      </c>
      <c r="H36" s="7" t="s">
        <v>93</v>
      </c>
    </row>
    <row r="37" customFormat="false" ht="15" hidden="false" customHeight="false" outlineLevel="0" collapsed="false">
      <c r="B37" s="7" t="s">
        <v>158</v>
      </c>
      <c r="C37" s="7" t="s">
        <v>159</v>
      </c>
      <c r="D37" s="7" t="s">
        <v>153</v>
      </c>
      <c r="E37" s="11" t="n">
        <f aca="false">ROUND(F37/(1+G37),0)</f>
        <v>1835749</v>
      </c>
      <c r="F37" s="12" t="n">
        <v>1900000</v>
      </c>
      <c r="G37" s="13" t="n">
        <v>0.035</v>
      </c>
      <c r="H37" s="7" t="s">
        <v>93</v>
      </c>
    </row>
    <row r="38" customFormat="false" ht="15" hidden="false" customHeight="false" outlineLevel="0" collapsed="false">
      <c r="B38" s="7" t="s">
        <v>160</v>
      </c>
      <c r="C38" s="7" t="s">
        <v>161</v>
      </c>
      <c r="D38" s="7" t="s">
        <v>153</v>
      </c>
      <c r="E38" s="11" t="n">
        <f aca="false">ROUND(F38/(1+G38),0)</f>
        <v>1062802</v>
      </c>
      <c r="F38" s="12" t="n">
        <v>1100000</v>
      </c>
      <c r="G38" s="13" t="n">
        <v>0.035</v>
      </c>
      <c r="H38" s="7" t="s">
        <v>93</v>
      </c>
    </row>
    <row r="39" customFormat="false" ht="15" hidden="false" customHeight="false" outlineLevel="0" collapsed="false">
      <c r="B39" s="7" t="s">
        <v>162</v>
      </c>
      <c r="C39" s="7" t="s">
        <v>163</v>
      </c>
      <c r="D39" s="7" t="s">
        <v>164</v>
      </c>
      <c r="E39" s="11" t="n">
        <f aca="false">ROUND(F39/(1+G39),0)</f>
        <v>1739130</v>
      </c>
      <c r="F39" s="12" t="n">
        <v>1800000</v>
      </c>
      <c r="G39" s="13" t="n">
        <v>0.035</v>
      </c>
      <c r="H39" s="7" t="s">
        <v>93</v>
      </c>
    </row>
    <row r="40" customFormat="false" ht="15" hidden="false" customHeight="false" outlineLevel="0" collapsed="false">
      <c r="B40" s="7" t="s">
        <v>165</v>
      </c>
      <c r="C40" s="7" t="s">
        <v>166</v>
      </c>
      <c r="D40" s="7" t="s">
        <v>164</v>
      </c>
      <c r="E40" s="11" t="n">
        <f aca="false">ROUND(F40/(1+G40),0)</f>
        <v>1352657</v>
      </c>
      <c r="F40" s="12" t="n">
        <v>1400000</v>
      </c>
      <c r="G40" s="13" t="n">
        <v>0.035</v>
      </c>
      <c r="H40" s="7" t="s">
        <v>93</v>
      </c>
    </row>
    <row r="41" customFormat="false" ht="15" hidden="false" customHeight="false" outlineLevel="0" collapsed="false">
      <c r="B41" s="7" t="s">
        <v>167</v>
      </c>
      <c r="C41" s="7" t="s">
        <v>168</v>
      </c>
      <c r="D41" s="7" t="s">
        <v>164</v>
      </c>
      <c r="E41" s="11" t="n">
        <f aca="false">ROUND(F41/(1+G41),0)</f>
        <v>1159420</v>
      </c>
      <c r="F41" s="12" t="n">
        <v>1200000</v>
      </c>
      <c r="G41" s="13" t="n">
        <v>0.035</v>
      </c>
      <c r="H41" s="7" t="s">
        <v>93</v>
      </c>
    </row>
    <row r="42" customFormat="false" ht="15" hidden="false" customHeight="false" outlineLevel="0" collapsed="false">
      <c r="B42" s="7" t="s">
        <v>169</v>
      </c>
      <c r="C42" s="7" t="s">
        <v>170</v>
      </c>
      <c r="D42" s="7" t="s">
        <v>164</v>
      </c>
      <c r="E42" s="11" t="n">
        <f aca="false">ROUND(F42/(1+G42),0)</f>
        <v>2512077</v>
      </c>
      <c r="F42" s="12" t="n">
        <v>2600000</v>
      </c>
      <c r="G42" s="13" t="n">
        <v>0.035</v>
      </c>
      <c r="H42" s="7" t="s">
        <v>93</v>
      </c>
    </row>
    <row r="43" customFormat="false" ht="15" hidden="false" customHeight="false" outlineLevel="0" collapsed="false">
      <c r="B43" s="7" t="s">
        <v>171</v>
      </c>
      <c r="C43" s="7" t="s">
        <v>172</v>
      </c>
      <c r="D43" s="7" t="s">
        <v>173</v>
      </c>
      <c r="E43" s="11" t="n">
        <f aca="false">ROUND(F43/(1+G43),0)</f>
        <v>5024155</v>
      </c>
      <c r="F43" s="12" t="n">
        <v>5200000</v>
      </c>
      <c r="G43" s="13" t="n">
        <v>0.035</v>
      </c>
      <c r="H43" s="7" t="s">
        <v>93</v>
      </c>
    </row>
    <row r="44" customFormat="false" ht="15" hidden="false" customHeight="false" outlineLevel="0" collapsed="false">
      <c r="B44" s="7" t="s">
        <v>174</v>
      </c>
      <c r="C44" s="7" t="s">
        <v>175</v>
      </c>
      <c r="D44" s="7" t="s">
        <v>173</v>
      </c>
      <c r="E44" s="11" t="n">
        <f aca="false">ROUND(F44/(1+G44),0)</f>
        <v>4444444</v>
      </c>
      <c r="F44" s="12" t="n">
        <v>4600000</v>
      </c>
      <c r="G44" s="13" t="n">
        <v>0.035</v>
      </c>
      <c r="H44" s="7" t="s">
        <v>93</v>
      </c>
    </row>
    <row r="45" customFormat="false" ht="15" hidden="false" customHeight="false" outlineLevel="0" collapsed="false">
      <c r="B45" s="7" t="s">
        <v>176</v>
      </c>
      <c r="C45" s="7" t="s">
        <v>177</v>
      </c>
      <c r="D45" s="7" t="s">
        <v>173</v>
      </c>
      <c r="E45" s="11" t="n">
        <f aca="false">ROUND(F45/(1+G45),0)</f>
        <v>3285024</v>
      </c>
      <c r="F45" s="12" t="n">
        <v>3400000</v>
      </c>
      <c r="G45" s="13" t="n">
        <v>0.035</v>
      </c>
      <c r="H45" s="7" t="s">
        <v>93</v>
      </c>
    </row>
    <row r="46" customFormat="false" ht="15" hidden="false" customHeight="false" outlineLevel="0" collapsed="false">
      <c r="B46" s="7" t="s">
        <v>178</v>
      </c>
      <c r="C46" s="7" t="s">
        <v>179</v>
      </c>
      <c r="D46" s="7" t="s">
        <v>173</v>
      </c>
      <c r="E46" s="11" t="n">
        <f aca="false">ROUND(F46/(1+G46),0)</f>
        <v>1256039</v>
      </c>
      <c r="F46" s="12" t="n">
        <v>1300000</v>
      </c>
      <c r="G46" s="13" t="n">
        <v>0.035</v>
      </c>
      <c r="H46" s="7" t="s">
        <v>93</v>
      </c>
    </row>
    <row r="47" customFormat="false" ht="15" hidden="false" customHeight="false" outlineLevel="0" collapsed="false">
      <c r="B47" s="7" t="s">
        <v>180</v>
      </c>
      <c r="C47" s="7" t="s">
        <v>181</v>
      </c>
      <c r="D47" s="7" t="s">
        <v>182</v>
      </c>
      <c r="E47" s="11" t="n">
        <f aca="false">ROUND(F47/(1+G47),0)</f>
        <v>6570048</v>
      </c>
      <c r="F47" s="12" t="n">
        <v>6800000</v>
      </c>
      <c r="G47" s="13" t="n">
        <v>0.035</v>
      </c>
      <c r="H47" s="7" t="s">
        <v>93</v>
      </c>
    </row>
    <row r="48" customFormat="false" ht="15" hidden="false" customHeight="false" outlineLevel="0" collapsed="false">
      <c r="B48" s="7" t="s">
        <v>183</v>
      </c>
      <c r="C48" s="7" t="s">
        <v>184</v>
      </c>
      <c r="D48" s="7" t="s">
        <v>182</v>
      </c>
      <c r="E48" s="11" t="n">
        <f aca="false">ROUND(F48/(1+G48),0)</f>
        <v>4057971</v>
      </c>
      <c r="F48" s="12" t="n">
        <v>4200000</v>
      </c>
      <c r="G48" s="13" t="n">
        <v>0.035</v>
      </c>
      <c r="H48" s="7" t="s">
        <v>93</v>
      </c>
    </row>
    <row r="49" customFormat="false" ht="15" hidden="false" customHeight="false" outlineLevel="0" collapsed="false">
      <c r="B49" s="7" t="s">
        <v>185</v>
      </c>
      <c r="C49" s="7" t="s">
        <v>186</v>
      </c>
      <c r="D49" s="7" t="s">
        <v>182</v>
      </c>
      <c r="E49" s="11" t="n">
        <f aca="false">ROUND(F49/(1+G49),0)</f>
        <v>2318841</v>
      </c>
      <c r="F49" s="12" t="n">
        <v>2400000</v>
      </c>
      <c r="G49" s="13" t="n">
        <v>0.035</v>
      </c>
      <c r="H49" s="7" t="s">
        <v>93</v>
      </c>
    </row>
    <row r="50" customFormat="false" ht="15" hidden="false" customHeight="false" outlineLevel="0" collapsed="false">
      <c r="B50" s="7" t="s">
        <v>187</v>
      </c>
      <c r="C50" s="7" t="s">
        <v>188</v>
      </c>
      <c r="D50" s="7" t="s">
        <v>182</v>
      </c>
      <c r="E50" s="11" t="n">
        <f aca="false">ROUND(F50/(1+G50),0)</f>
        <v>1835749</v>
      </c>
      <c r="F50" s="12" t="n">
        <v>1900000</v>
      </c>
      <c r="G50" s="13" t="n">
        <v>0.035</v>
      </c>
      <c r="H50" s="7" t="s">
        <v>93</v>
      </c>
    </row>
    <row r="51" customFormat="false" ht="15" hidden="false" customHeight="false" outlineLevel="0" collapsed="false">
      <c r="B51" s="7" t="s">
        <v>189</v>
      </c>
      <c r="C51" s="7" t="s">
        <v>190</v>
      </c>
      <c r="D51" s="7" t="s">
        <v>191</v>
      </c>
      <c r="E51" s="11" t="n">
        <f aca="false">ROUND(F51/(1+G51),0)</f>
        <v>5217391</v>
      </c>
      <c r="F51" s="12" t="n">
        <v>5400000</v>
      </c>
      <c r="G51" s="13" t="n">
        <v>0.035</v>
      </c>
      <c r="H51" s="7" t="s">
        <v>93</v>
      </c>
    </row>
    <row r="52" customFormat="false" ht="15" hidden="false" customHeight="false" outlineLevel="0" collapsed="false">
      <c r="B52" s="7" t="s">
        <v>192</v>
      </c>
      <c r="C52" s="7" t="s">
        <v>193</v>
      </c>
      <c r="D52" s="7" t="s">
        <v>191</v>
      </c>
      <c r="E52" s="11" t="n">
        <f aca="false">ROUND(F52/(1+G52),0)</f>
        <v>3671498</v>
      </c>
      <c r="F52" s="12" t="n">
        <v>3800000</v>
      </c>
      <c r="G52" s="13" t="n">
        <v>0.035</v>
      </c>
      <c r="H52" s="7" t="s">
        <v>93</v>
      </c>
    </row>
    <row r="53" customFormat="false" ht="15" hidden="false" customHeight="false" outlineLevel="0" collapsed="false">
      <c r="B53" s="7" t="s">
        <v>194</v>
      </c>
      <c r="C53" s="7" t="s">
        <v>195</v>
      </c>
      <c r="D53" s="7" t="s">
        <v>191</v>
      </c>
      <c r="E53" s="11" t="n">
        <f aca="false">ROUND(F53/(1+G53),0)</f>
        <v>2801932</v>
      </c>
      <c r="F53" s="12" t="n">
        <v>2900000</v>
      </c>
      <c r="G53" s="13" t="n">
        <v>0.035</v>
      </c>
      <c r="H53" s="7" t="s">
        <v>93</v>
      </c>
    </row>
    <row r="54" customFormat="false" ht="15" hidden="false" customHeight="false" outlineLevel="0" collapsed="false">
      <c r="B54" s="7" t="s">
        <v>196</v>
      </c>
      <c r="C54" s="7" t="s">
        <v>197</v>
      </c>
      <c r="D54" s="7" t="s">
        <v>191</v>
      </c>
      <c r="E54" s="11" t="n">
        <f aca="false">ROUND(F54/(1+G54),0)</f>
        <v>1642512</v>
      </c>
      <c r="F54" s="12" t="n">
        <v>1700000</v>
      </c>
      <c r="G54" s="13" t="n">
        <v>0.035</v>
      </c>
      <c r="H54" s="7" t="s">
        <v>93</v>
      </c>
    </row>
    <row r="55" customFormat="false" ht="15" hidden="false" customHeight="false" outlineLevel="0" collapsed="false">
      <c r="B55" s="7" t="s">
        <v>198</v>
      </c>
      <c r="C55" s="7" t="s">
        <v>199</v>
      </c>
      <c r="D55" s="7" t="s">
        <v>200</v>
      </c>
      <c r="E55" s="11" t="n">
        <f aca="false">ROUND(F55/(1+G55),0)</f>
        <v>3478261</v>
      </c>
      <c r="F55" s="12" t="n">
        <v>3600000</v>
      </c>
      <c r="G55" s="13" t="n">
        <v>0.035</v>
      </c>
      <c r="H55" s="7" t="s">
        <v>93</v>
      </c>
    </row>
    <row r="56" customFormat="false" ht="15" hidden="false" customHeight="false" outlineLevel="0" collapsed="false">
      <c r="B56" s="7" t="s">
        <v>201</v>
      </c>
      <c r="C56" s="7" t="s">
        <v>202</v>
      </c>
      <c r="D56" s="7" t="s">
        <v>200</v>
      </c>
      <c r="E56" s="11" t="n">
        <f aca="false">ROUND(F56/(1+G56),0)</f>
        <v>2028986</v>
      </c>
      <c r="F56" s="12" t="n">
        <v>2100000</v>
      </c>
      <c r="G56" s="13" t="n">
        <v>0.035</v>
      </c>
      <c r="H56" s="7" t="s">
        <v>93</v>
      </c>
    </row>
    <row r="57" customFormat="false" ht="15" hidden="false" customHeight="false" outlineLevel="0" collapsed="false">
      <c r="B57" s="7" t="s">
        <v>203</v>
      </c>
      <c r="C57" s="7" t="s">
        <v>204</v>
      </c>
      <c r="D57" s="7" t="s">
        <v>200</v>
      </c>
      <c r="E57" s="11" t="n">
        <f aca="false">ROUND(F57/(1+G57),0)</f>
        <v>1159420</v>
      </c>
      <c r="F57" s="12" t="n">
        <v>1200000</v>
      </c>
      <c r="G57" s="13" t="n">
        <v>0.035</v>
      </c>
      <c r="H57" s="7" t="s">
        <v>93</v>
      </c>
    </row>
    <row r="58" customFormat="false" ht="15" hidden="false" customHeight="false" outlineLevel="0" collapsed="false">
      <c r="B58" s="7" t="s">
        <v>205</v>
      </c>
      <c r="C58" s="7" t="s">
        <v>206</v>
      </c>
      <c r="D58" s="7" t="s">
        <v>200</v>
      </c>
      <c r="E58" s="11" t="n">
        <f aca="false">ROUND(F58/(1+G58),0)</f>
        <v>2705314</v>
      </c>
      <c r="F58" s="12" t="n">
        <v>2800000</v>
      </c>
      <c r="G58" s="13" t="n">
        <v>0.035</v>
      </c>
      <c r="H58" s="7" t="s">
        <v>93</v>
      </c>
    </row>
    <row r="59" customFormat="false" ht="15" hidden="false" customHeight="false" outlineLevel="0" collapsed="false">
      <c r="B59" s="7" t="s">
        <v>207</v>
      </c>
      <c r="C59" s="7" t="s">
        <v>208</v>
      </c>
      <c r="D59" s="7" t="s">
        <v>209</v>
      </c>
      <c r="E59" s="11" t="n">
        <f aca="false">ROUND(F59/(1+G59),0)</f>
        <v>3091787</v>
      </c>
      <c r="F59" s="12" t="n">
        <v>3200000</v>
      </c>
      <c r="G59" s="13" t="n">
        <v>0.035</v>
      </c>
      <c r="H59" s="7" t="s">
        <v>93</v>
      </c>
    </row>
    <row r="60" customFormat="false" ht="15" hidden="false" customHeight="false" outlineLevel="0" collapsed="false">
      <c r="B60" s="7" t="s">
        <v>210</v>
      </c>
      <c r="C60" s="7" t="s">
        <v>211</v>
      </c>
      <c r="D60" s="7" t="s">
        <v>209</v>
      </c>
      <c r="E60" s="11" t="n">
        <f aca="false">ROUND(F60/(1+G60),0)</f>
        <v>1062802</v>
      </c>
      <c r="F60" s="12" t="n">
        <v>1100000</v>
      </c>
      <c r="G60" s="13" t="n">
        <v>0.035</v>
      </c>
      <c r="H60" s="7" t="s">
        <v>93</v>
      </c>
    </row>
    <row r="61" customFormat="false" ht="15" hidden="false" customHeight="false" outlineLevel="0" collapsed="false">
      <c r="B61" s="7" t="s">
        <v>212</v>
      </c>
      <c r="C61" s="7" t="s">
        <v>213</v>
      </c>
      <c r="D61" s="7" t="s">
        <v>209</v>
      </c>
      <c r="E61" s="11" t="n">
        <f aca="false">ROUND(F61/(1+G61),0)</f>
        <v>714976</v>
      </c>
      <c r="F61" s="12" t="n">
        <v>740000</v>
      </c>
      <c r="G61" s="13" t="n">
        <v>0.035</v>
      </c>
      <c r="H61" s="7" t="s">
        <v>93</v>
      </c>
    </row>
    <row r="62" customFormat="false" ht="15" hidden="false" customHeight="false" outlineLevel="0" collapsed="false">
      <c r="B62" s="7" t="s">
        <v>214</v>
      </c>
      <c r="C62" s="7" t="s">
        <v>215</v>
      </c>
      <c r="D62" s="7" t="s">
        <v>209</v>
      </c>
      <c r="E62" s="11" t="n">
        <f aca="false">ROUND(F62/(1+G62),0)</f>
        <v>599034</v>
      </c>
      <c r="F62" s="12" t="n">
        <v>620000</v>
      </c>
      <c r="G62" s="13" t="n">
        <v>0.035</v>
      </c>
      <c r="H62" s="7" t="s">
        <v>93</v>
      </c>
    </row>
    <row r="63" customFormat="false" ht="15" hidden="false" customHeight="false" outlineLevel="0" collapsed="false">
      <c r="B63" s="7" t="s">
        <v>216</v>
      </c>
      <c r="C63" s="7" t="s">
        <v>217</v>
      </c>
      <c r="D63" s="7" t="s">
        <v>218</v>
      </c>
      <c r="E63" s="11" t="n">
        <f aca="false">ROUND(F63/(1+G63),0)</f>
        <v>7922705</v>
      </c>
      <c r="F63" s="12" t="n">
        <v>8200000</v>
      </c>
      <c r="G63" s="13" t="n">
        <v>0.035</v>
      </c>
      <c r="H63" s="7" t="s">
        <v>93</v>
      </c>
    </row>
    <row r="64" customFormat="false" ht="15" hidden="false" customHeight="false" outlineLevel="0" collapsed="false">
      <c r="B64" s="7" t="s">
        <v>219</v>
      </c>
      <c r="C64" s="7" t="s">
        <v>220</v>
      </c>
      <c r="D64" s="7" t="s">
        <v>218</v>
      </c>
      <c r="E64" s="11" t="n">
        <f aca="false">ROUND(F64/(1+G64),0)</f>
        <v>3671498</v>
      </c>
      <c r="F64" s="12" t="n">
        <v>3800000</v>
      </c>
      <c r="G64" s="13" t="n">
        <v>0.035</v>
      </c>
      <c r="H64" s="7" t="s">
        <v>93</v>
      </c>
    </row>
    <row r="65" customFormat="false" ht="15" hidden="false" customHeight="false" outlineLevel="0" collapsed="false">
      <c r="B65" s="7" t="s">
        <v>221</v>
      </c>
      <c r="C65" s="7" t="s">
        <v>222</v>
      </c>
      <c r="D65" s="7" t="s">
        <v>218</v>
      </c>
      <c r="E65" s="11" t="n">
        <f aca="false">ROUND(F65/(1+G65),0)</f>
        <v>2318841</v>
      </c>
      <c r="F65" s="12" t="n">
        <v>2400000</v>
      </c>
      <c r="G65" s="13" t="n">
        <v>0.035</v>
      </c>
      <c r="H65" s="7" t="s">
        <v>93</v>
      </c>
    </row>
    <row r="66" customFormat="false" ht="15" hidden="false" customHeight="false" outlineLevel="0" collapsed="false">
      <c r="C66" s="14" t="s">
        <v>223</v>
      </c>
      <c r="E66" s="15" t="n">
        <f aca="false">SUM(E6:E65)</f>
        <v>244212562</v>
      </c>
      <c r="F66" s="15" t="n">
        <f aca="false">SUM(F6:F65)</f>
        <v>252760000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224</v>
      </c>
    </row>
    <row r="3" customFormat="false" ht="15" hidden="false" customHeight="false" outlineLevel="0" collapsed="false">
      <c r="B3" s="9" t="s">
        <v>225</v>
      </c>
    </row>
    <row r="5" customFormat="false" ht="23.85" hidden="false" customHeight="false" outlineLevel="0" collapsed="false">
      <c r="B5" s="10" t="s">
        <v>226</v>
      </c>
      <c r="C5" s="10" t="s">
        <v>227</v>
      </c>
      <c r="D5" s="10" t="s">
        <v>228</v>
      </c>
      <c r="E5" s="10" t="s">
        <v>229</v>
      </c>
      <c r="F5" s="10" t="s">
        <v>230</v>
      </c>
      <c r="G5" s="10" t="s">
        <v>231</v>
      </c>
      <c r="H5" s="10" t="s">
        <v>232</v>
      </c>
      <c r="I5" s="10" t="s">
        <v>233</v>
      </c>
      <c r="J5" s="10" t="s">
        <v>234</v>
      </c>
      <c r="K5" s="10" t="s">
        <v>235</v>
      </c>
    </row>
    <row r="6" customFormat="false" ht="15" hidden="false" customHeight="false" outlineLevel="0" collapsed="false">
      <c r="B6" s="7" t="s">
        <v>236</v>
      </c>
      <c r="C6" s="7" t="s">
        <v>237</v>
      </c>
      <c r="D6" s="7" t="s">
        <v>238</v>
      </c>
      <c r="E6" s="7" t="s">
        <v>239</v>
      </c>
      <c r="F6" s="16" t="n">
        <v>22</v>
      </c>
      <c r="G6" s="16" t="n">
        <v>97</v>
      </c>
      <c r="H6" s="7" t="s">
        <v>240</v>
      </c>
      <c r="I6" s="17" t="n">
        <v>22000000</v>
      </c>
      <c r="J6" s="7" t="s">
        <v>241</v>
      </c>
      <c r="K6" s="16" t="s">
        <v>242</v>
      </c>
    </row>
    <row r="7" customFormat="false" ht="15" hidden="false" customHeight="false" outlineLevel="0" collapsed="false">
      <c r="B7" s="7" t="s">
        <v>243</v>
      </c>
      <c r="C7" s="7" t="s">
        <v>244</v>
      </c>
      <c r="D7" s="7" t="s">
        <v>245</v>
      </c>
      <c r="E7" s="7" t="s">
        <v>239</v>
      </c>
      <c r="F7" s="16" t="n">
        <v>28</v>
      </c>
      <c r="G7" s="16" t="n">
        <v>95</v>
      </c>
      <c r="H7" s="7" t="s">
        <v>246</v>
      </c>
      <c r="I7" s="17" t="n">
        <v>16500000</v>
      </c>
      <c r="J7" s="7" t="s">
        <v>247</v>
      </c>
      <c r="K7" s="16" t="s">
        <v>242</v>
      </c>
    </row>
    <row r="8" customFormat="false" ht="15" hidden="false" customHeight="false" outlineLevel="0" collapsed="false">
      <c r="B8" s="7" t="s">
        <v>248</v>
      </c>
      <c r="C8" s="7" t="s">
        <v>249</v>
      </c>
      <c r="D8" s="7" t="s">
        <v>250</v>
      </c>
      <c r="E8" s="7" t="s">
        <v>239</v>
      </c>
      <c r="F8" s="16" t="n">
        <v>31</v>
      </c>
      <c r="G8" s="16" t="n">
        <v>94</v>
      </c>
      <c r="H8" s="7" t="s">
        <v>251</v>
      </c>
      <c r="I8" s="17" t="n">
        <v>13200000</v>
      </c>
      <c r="J8" s="7" t="s">
        <v>97</v>
      </c>
      <c r="K8" s="16" t="s">
        <v>242</v>
      </c>
    </row>
    <row r="9" customFormat="false" ht="15" hidden="false" customHeight="false" outlineLevel="0" collapsed="false">
      <c r="B9" s="7" t="s">
        <v>252</v>
      </c>
      <c r="C9" s="7" t="s">
        <v>253</v>
      </c>
      <c r="D9" s="7" t="s">
        <v>254</v>
      </c>
      <c r="E9" s="7" t="s">
        <v>255</v>
      </c>
      <c r="F9" s="16" t="n">
        <v>78</v>
      </c>
      <c r="G9" s="16" t="n">
        <v>71</v>
      </c>
      <c r="H9" s="7" t="s">
        <v>256</v>
      </c>
      <c r="I9" s="17" t="n">
        <v>9400000</v>
      </c>
      <c r="J9" s="7" t="s">
        <v>241</v>
      </c>
      <c r="K9" s="16" t="s">
        <v>257</v>
      </c>
    </row>
    <row r="10" customFormat="false" ht="15" hidden="false" customHeight="false" outlineLevel="0" collapsed="false">
      <c r="B10" s="7" t="s">
        <v>258</v>
      </c>
      <c r="C10" s="7" t="s">
        <v>259</v>
      </c>
      <c r="D10" s="7" t="s">
        <v>260</v>
      </c>
      <c r="E10" s="7" t="s">
        <v>255</v>
      </c>
      <c r="F10" s="16" t="n">
        <v>44</v>
      </c>
      <c r="G10" s="16" t="n">
        <v>88</v>
      </c>
      <c r="H10" s="7" t="s">
        <v>261</v>
      </c>
      <c r="I10" s="17" t="n">
        <v>7800000</v>
      </c>
      <c r="J10" s="7" t="s">
        <v>262</v>
      </c>
      <c r="K10" s="16" t="s">
        <v>242</v>
      </c>
    </row>
    <row r="11" customFormat="false" ht="15" hidden="false" customHeight="false" outlineLevel="0" collapsed="false">
      <c r="B11" s="7" t="s">
        <v>263</v>
      </c>
      <c r="C11" s="7" t="s">
        <v>264</v>
      </c>
      <c r="D11" s="7" t="s">
        <v>265</v>
      </c>
      <c r="E11" s="7" t="s">
        <v>266</v>
      </c>
      <c r="F11" s="16" t="n">
        <v>82</v>
      </c>
      <c r="G11" s="16" t="n">
        <v>68</v>
      </c>
      <c r="H11" s="7" t="s">
        <v>267</v>
      </c>
      <c r="I11" s="17" t="n">
        <v>5600000</v>
      </c>
      <c r="J11" s="7" t="s">
        <v>268</v>
      </c>
      <c r="K11" s="16" t="s">
        <v>257</v>
      </c>
    </row>
    <row r="12" customFormat="false" ht="15" hidden="false" customHeight="false" outlineLevel="0" collapsed="false">
      <c r="B12" s="7" t="s">
        <v>269</v>
      </c>
      <c r="C12" s="7" t="s">
        <v>270</v>
      </c>
      <c r="D12" s="7" t="s">
        <v>271</v>
      </c>
      <c r="E12" s="7" t="s">
        <v>266</v>
      </c>
      <c r="F12" s="16" t="n">
        <v>74</v>
      </c>
      <c r="G12" s="16" t="n">
        <v>73</v>
      </c>
      <c r="H12" s="7" t="s">
        <v>272</v>
      </c>
      <c r="I12" s="17" t="n">
        <v>6900000</v>
      </c>
      <c r="J12" s="7" t="s">
        <v>273</v>
      </c>
      <c r="K12" s="16" t="s">
        <v>257</v>
      </c>
    </row>
    <row r="13" customFormat="false" ht="15" hidden="false" customHeight="false" outlineLevel="0" collapsed="false">
      <c r="B13" s="7" t="s">
        <v>274</v>
      </c>
      <c r="C13" s="7" t="s">
        <v>275</v>
      </c>
      <c r="D13" s="7" t="s">
        <v>276</v>
      </c>
      <c r="E13" s="7" t="s">
        <v>266</v>
      </c>
      <c r="F13" s="16" t="n">
        <v>79</v>
      </c>
      <c r="G13" s="16" t="n">
        <v>70</v>
      </c>
      <c r="H13" s="7" t="s">
        <v>256</v>
      </c>
      <c r="I13" s="17" t="n">
        <v>4200000</v>
      </c>
      <c r="J13" s="7" t="s">
        <v>262</v>
      </c>
      <c r="K13" s="16" t="s">
        <v>257</v>
      </c>
    </row>
    <row r="14" customFormat="false" ht="15" hidden="false" customHeight="false" outlineLevel="0" collapsed="false">
      <c r="B14" s="7" t="s">
        <v>277</v>
      </c>
      <c r="C14" s="7" t="s">
        <v>278</v>
      </c>
      <c r="D14" s="7" t="s">
        <v>279</v>
      </c>
      <c r="E14" s="7" t="s">
        <v>266</v>
      </c>
      <c r="F14" s="16" t="n">
        <v>76</v>
      </c>
      <c r="G14" s="16" t="n">
        <v>72</v>
      </c>
      <c r="H14" s="7" t="s">
        <v>267</v>
      </c>
      <c r="I14" s="17" t="n">
        <v>3800000</v>
      </c>
      <c r="J14" s="7" t="s">
        <v>97</v>
      </c>
      <c r="K14" s="16" t="s">
        <v>257</v>
      </c>
    </row>
    <row r="15" customFormat="false" ht="15" hidden="false" customHeight="false" outlineLevel="0" collapsed="false">
      <c r="B15" s="7" t="s">
        <v>280</v>
      </c>
      <c r="C15" s="7" t="s">
        <v>281</v>
      </c>
      <c r="D15" s="7" t="s">
        <v>282</v>
      </c>
      <c r="E15" s="7" t="s">
        <v>283</v>
      </c>
      <c r="F15" s="16" t="n">
        <v>38</v>
      </c>
      <c r="G15" s="16" t="n">
        <v>91</v>
      </c>
      <c r="H15" s="7" t="s">
        <v>246</v>
      </c>
      <c r="I15" s="17" t="n">
        <v>11200000</v>
      </c>
      <c r="J15" s="7" t="s">
        <v>284</v>
      </c>
      <c r="K15" s="16" t="s">
        <v>242</v>
      </c>
    </row>
    <row r="16" customFormat="false" ht="15" hidden="false" customHeight="false" outlineLevel="0" collapsed="false">
      <c r="B16" s="7" t="s">
        <v>285</v>
      </c>
      <c r="C16" s="7" t="s">
        <v>286</v>
      </c>
      <c r="D16" s="7" t="s">
        <v>287</v>
      </c>
      <c r="E16" s="7" t="s">
        <v>283</v>
      </c>
      <c r="F16" s="16" t="n">
        <v>52</v>
      </c>
      <c r="G16" s="16" t="n">
        <v>84</v>
      </c>
      <c r="H16" s="7" t="s">
        <v>288</v>
      </c>
      <c r="I16" s="17" t="n">
        <v>6700000</v>
      </c>
      <c r="J16" s="7" t="s">
        <v>241</v>
      </c>
      <c r="K16" s="16" t="s">
        <v>257</v>
      </c>
    </row>
    <row r="17" customFormat="false" ht="15" hidden="false" customHeight="false" outlineLevel="0" collapsed="false">
      <c r="B17" s="7" t="s">
        <v>289</v>
      </c>
      <c r="C17" s="7" t="s">
        <v>290</v>
      </c>
      <c r="D17" s="7" t="s">
        <v>291</v>
      </c>
      <c r="E17" s="7" t="s">
        <v>283</v>
      </c>
      <c r="F17" s="16" t="n">
        <v>49</v>
      </c>
      <c r="G17" s="16" t="n">
        <v>85</v>
      </c>
      <c r="H17" s="7" t="s">
        <v>261</v>
      </c>
      <c r="I17" s="17" t="n">
        <v>5100000</v>
      </c>
      <c r="J17" s="7" t="s">
        <v>284</v>
      </c>
      <c r="K17" s="16" t="s">
        <v>257</v>
      </c>
    </row>
    <row r="18" customFormat="false" ht="15" hidden="false" customHeight="false" outlineLevel="0" collapsed="false">
      <c r="B18" s="7" t="s">
        <v>292</v>
      </c>
      <c r="C18" s="7" t="s">
        <v>293</v>
      </c>
      <c r="D18" s="7" t="s">
        <v>294</v>
      </c>
      <c r="E18" s="7" t="s">
        <v>283</v>
      </c>
      <c r="F18" s="16" t="n">
        <v>41</v>
      </c>
      <c r="G18" s="16" t="n">
        <v>89</v>
      </c>
      <c r="H18" s="7" t="s">
        <v>251</v>
      </c>
      <c r="I18" s="17" t="n">
        <v>4900000</v>
      </c>
      <c r="J18" s="7" t="s">
        <v>109</v>
      </c>
      <c r="K18" s="16" t="s">
        <v>257</v>
      </c>
    </row>
    <row r="19" customFormat="false" ht="15" hidden="false" customHeight="false" outlineLevel="0" collapsed="false">
      <c r="B19" s="7" t="s">
        <v>295</v>
      </c>
      <c r="C19" s="7" t="s">
        <v>296</v>
      </c>
      <c r="D19" s="7" t="s">
        <v>297</v>
      </c>
      <c r="E19" s="7" t="s">
        <v>255</v>
      </c>
      <c r="F19" s="16" t="n">
        <v>34</v>
      </c>
      <c r="G19" s="16" t="n">
        <v>92</v>
      </c>
      <c r="H19" s="7" t="s">
        <v>246</v>
      </c>
      <c r="I19" s="17" t="n">
        <v>8300000</v>
      </c>
      <c r="J19" s="7" t="s">
        <v>112</v>
      </c>
      <c r="K19" s="16" t="s">
        <v>242</v>
      </c>
    </row>
    <row r="20" customFormat="false" ht="15" hidden="false" customHeight="false" outlineLevel="0" collapsed="false">
      <c r="B20" s="7" t="s">
        <v>298</v>
      </c>
      <c r="C20" s="7" t="s">
        <v>299</v>
      </c>
      <c r="D20" s="7" t="s">
        <v>300</v>
      </c>
      <c r="E20" s="7" t="s">
        <v>255</v>
      </c>
      <c r="F20" s="16" t="n">
        <v>37</v>
      </c>
      <c r="G20" s="16" t="n">
        <v>90</v>
      </c>
      <c r="H20" s="7" t="s">
        <v>251</v>
      </c>
      <c r="I20" s="17" t="n">
        <v>7100000</v>
      </c>
      <c r="J20" s="7" t="s">
        <v>118</v>
      </c>
      <c r="K20" s="16" t="s">
        <v>242</v>
      </c>
    </row>
    <row r="21" customFormat="false" ht="15" hidden="false" customHeight="false" outlineLevel="0" collapsed="false">
      <c r="B21" s="7" t="s">
        <v>301</v>
      </c>
      <c r="C21" s="7" t="s">
        <v>302</v>
      </c>
      <c r="D21" s="7" t="s">
        <v>303</v>
      </c>
      <c r="E21" s="7" t="s">
        <v>239</v>
      </c>
      <c r="F21" s="16" t="n">
        <v>29</v>
      </c>
      <c r="G21" s="16" t="n">
        <v>93</v>
      </c>
      <c r="H21" s="7" t="s">
        <v>240</v>
      </c>
      <c r="I21" s="17" t="n">
        <v>14800000</v>
      </c>
      <c r="J21" s="7" t="s">
        <v>120</v>
      </c>
      <c r="K21" s="16" t="s">
        <v>242</v>
      </c>
    </row>
    <row r="22" customFormat="false" ht="15" hidden="false" customHeight="false" outlineLevel="0" collapsed="false">
      <c r="B22" s="7" t="s">
        <v>304</v>
      </c>
      <c r="C22" s="7" t="s">
        <v>305</v>
      </c>
      <c r="D22" s="7" t="s">
        <v>306</v>
      </c>
      <c r="E22" s="7" t="s">
        <v>255</v>
      </c>
      <c r="F22" s="16" t="n">
        <v>43</v>
      </c>
      <c r="G22" s="16" t="n">
        <v>87</v>
      </c>
      <c r="H22" s="7" t="s">
        <v>261</v>
      </c>
      <c r="I22" s="17" t="n">
        <v>3600000</v>
      </c>
      <c r="J22" s="7" t="s">
        <v>307</v>
      </c>
      <c r="K22" s="16" t="s">
        <v>242</v>
      </c>
    </row>
    <row r="23" customFormat="false" ht="15" hidden="false" customHeight="false" outlineLevel="0" collapsed="false">
      <c r="B23" s="7" t="s">
        <v>308</v>
      </c>
      <c r="C23" s="7" t="s">
        <v>309</v>
      </c>
      <c r="D23" s="7" t="s">
        <v>310</v>
      </c>
      <c r="E23" s="7" t="s">
        <v>255</v>
      </c>
      <c r="F23" s="16" t="n">
        <v>33</v>
      </c>
      <c r="G23" s="16" t="n">
        <v>91</v>
      </c>
      <c r="H23" s="7" t="s">
        <v>246</v>
      </c>
      <c r="I23" s="17" t="n">
        <v>5400000</v>
      </c>
      <c r="J23" s="7" t="s">
        <v>114</v>
      </c>
      <c r="K23" s="16" t="s">
        <v>242</v>
      </c>
    </row>
    <row r="24" customFormat="false" ht="15" hidden="false" customHeight="false" outlineLevel="0" collapsed="false">
      <c r="B24" s="7" t="s">
        <v>311</v>
      </c>
      <c r="C24" s="7" t="s">
        <v>312</v>
      </c>
      <c r="D24" s="7" t="s">
        <v>313</v>
      </c>
      <c r="E24" s="7" t="s">
        <v>255</v>
      </c>
      <c r="F24" s="16" t="n">
        <v>39</v>
      </c>
      <c r="G24" s="16" t="n">
        <v>89</v>
      </c>
      <c r="H24" s="7" t="s">
        <v>251</v>
      </c>
      <c r="I24" s="17" t="n">
        <v>4100000</v>
      </c>
      <c r="J24" s="7" t="s">
        <v>116</v>
      </c>
      <c r="K24" s="16" t="s">
        <v>242</v>
      </c>
    </row>
    <row r="25" customFormat="false" ht="15" hidden="false" customHeight="false" outlineLevel="0" collapsed="false">
      <c r="B25" s="7" t="s">
        <v>314</v>
      </c>
      <c r="C25" s="7" t="s">
        <v>315</v>
      </c>
      <c r="D25" s="7" t="s">
        <v>245</v>
      </c>
      <c r="E25" s="7" t="s">
        <v>239</v>
      </c>
      <c r="F25" s="16" t="n">
        <v>26</v>
      </c>
      <c r="G25" s="16" t="n">
        <v>96</v>
      </c>
      <c r="H25" s="7" t="s">
        <v>240</v>
      </c>
      <c r="I25" s="17" t="n">
        <v>12600000</v>
      </c>
      <c r="J25" s="7" t="s">
        <v>316</v>
      </c>
      <c r="K25" s="16" t="s">
        <v>242</v>
      </c>
    </row>
    <row r="27" customFormat="false" ht="15" hidden="false" customHeight="false" outlineLevel="0" collapsed="false">
      <c r="B27" s="9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50"/>
  </cols>
  <sheetData>
    <row r="2" customFormat="false" ht="19.7" hidden="false" customHeight="false" outlineLevel="0" collapsed="false">
      <c r="B2" s="1" t="s">
        <v>318</v>
      </c>
    </row>
    <row r="3" customFormat="false" ht="15" hidden="false" customHeight="false" outlineLevel="0" collapsed="false">
      <c r="B3" s="9" t="s">
        <v>319</v>
      </c>
    </row>
    <row r="5" customFormat="false" ht="15" hidden="false" customHeight="false" outlineLevel="0" collapsed="false">
      <c r="B5" s="10" t="s">
        <v>320</v>
      </c>
      <c r="C5" s="10" t="s">
        <v>321</v>
      </c>
      <c r="D5" s="10" t="s">
        <v>322</v>
      </c>
      <c r="E5" s="10" t="s">
        <v>323</v>
      </c>
      <c r="F5" s="10" t="s">
        <v>324</v>
      </c>
      <c r="G5" s="10" t="s">
        <v>325</v>
      </c>
      <c r="H5" s="10" t="s">
        <v>326</v>
      </c>
    </row>
    <row r="6" customFormat="false" ht="35.05" hidden="false" customHeight="false" outlineLevel="0" collapsed="false">
      <c r="B6" s="7" t="s">
        <v>327</v>
      </c>
      <c r="C6" s="7" t="s">
        <v>328</v>
      </c>
      <c r="D6" s="7" t="s">
        <v>329</v>
      </c>
      <c r="E6" s="18" t="n">
        <v>3.4</v>
      </c>
      <c r="F6" s="18" t="n">
        <v>4.6</v>
      </c>
      <c r="G6" s="18" t="n">
        <v>6.4</v>
      </c>
      <c r="H6" s="19" t="s">
        <v>330</v>
      </c>
    </row>
    <row r="7" customFormat="false" ht="35.05" hidden="false" customHeight="false" outlineLevel="0" collapsed="false">
      <c r="B7" s="7" t="s">
        <v>331</v>
      </c>
      <c r="C7" s="7" t="s">
        <v>332</v>
      </c>
      <c r="D7" s="7" t="s">
        <v>329</v>
      </c>
      <c r="E7" s="18" t="n">
        <v>4.1</v>
      </c>
      <c r="F7" s="18" t="n">
        <v>5.8</v>
      </c>
      <c r="G7" s="18" t="n">
        <v>8.2</v>
      </c>
      <c r="H7" s="19" t="s">
        <v>333</v>
      </c>
    </row>
    <row r="8" customFormat="false" ht="23.85" hidden="false" customHeight="false" outlineLevel="0" collapsed="false">
      <c r="B8" s="7" t="s">
        <v>334</v>
      </c>
      <c r="C8" s="7" t="s">
        <v>335</v>
      </c>
      <c r="D8" s="7" t="s">
        <v>336</v>
      </c>
      <c r="E8" s="18" t="n">
        <v>2.2</v>
      </c>
      <c r="F8" s="18" t="n">
        <v>3.1</v>
      </c>
      <c r="G8" s="18" t="n">
        <v>4.7</v>
      </c>
      <c r="H8" s="19" t="s">
        <v>337</v>
      </c>
    </row>
    <row r="9" customFormat="false" ht="23.85" hidden="false" customHeight="false" outlineLevel="0" collapsed="false">
      <c r="B9" s="7" t="s">
        <v>338</v>
      </c>
      <c r="C9" s="7" t="s">
        <v>339</v>
      </c>
      <c r="D9" s="7" t="s">
        <v>336</v>
      </c>
      <c r="E9" s="18" t="n">
        <v>1.8</v>
      </c>
      <c r="F9" s="18" t="n">
        <v>2.7</v>
      </c>
      <c r="G9" s="18" t="n">
        <v>4.1</v>
      </c>
      <c r="H9" s="19" t="s">
        <v>340</v>
      </c>
    </row>
    <row r="10" customFormat="false" ht="23.85" hidden="false" customHeight="false" outlineLevel="0" collapsed="false">
      <c r="B10" s="7" t="s">
        <v>341</v>
      </c>
      <c r="C10" s="7" t="s">
        <v>342</v>
      </c>
      <c r="D10" s="7" t="s">
        <v>343</v>
      </c>
      <c r="E10" s="18" t="n">
        <v>1.2</v>
      </c>
      <c r="F10" s="18" t="n">
        <v>1.9</v>
      </c>
      <c r="G10" s="18" t="n">
        <v>3</v>
      </c>
      <c r="H10" s="19" t="s">
        <v>344</v>
      </c>
    </row>
    <row r="11" customFormat="false" ht="23.85" hidden="false" customHeight="false" outlineLevel="0" collapsed="false">
      <c r="B11" s="7" t="s">
        <v>345</v>
      </c>
      <c r="C11" s="7" t="s">
        <v>346</v>
      </c>
      <c r="D11" s="7" t="s">
        <v>336</v>
      </c>
      <c r="E11" s="18" t="n">
        <v>1.6</v>
      </c>
      <c r="F11" s="18" t="n">
        <v>2.4</v>
      </c>
      <c r="G11" s="18" t="n">
        <v>3.8</v>
      </c>
      <c r="H11" s="19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348</v>
      </c>
    </row>
    <row r="3" customFormat="false" ht="15" hidden="false" customHeight="false" outlineLevel="0" collapsed="false">
      <c r="B3" s="9" t="s">
        <v>349</v>
      </c>
    </row>
    <row r="5" customFormat="false" ht="15" hidden="false" customHeight="false" outlineLevel="0" collapsed="false">
      <c r="B5" s="10" t="s">
        <v>320</v>
      </c>
      <c r="C5" s="10" t="s">
        <v>83</v>
      </c>
      <c r="D5" s="10" t="s">
        <v>350</v>
      </c>
      <c r="E5" s="10" t="s">
        <v>351</v>
      </c>
    </row>
    <row r="6" customFormat="false" ht="15" hidden="false" customHeight="false" outlineLevel="0" collapsed="false">
      <c r="B6" s="7" t="s">
        <v>327</v>
      </c>
      <c r="C6" s="7" t="s">
        <v>90</v>
      </c>
      <c r="D6" s="20" t="n">
        <v>0.9</v>
      </c>
      <c r="E6" s="19" t="s">
        <v>352</v>
      </c>
    </row>
    <row r="7" customFormat="false" ht="15" hidden="false" customHeight="false" outlineLevel="0" collapsed="false">
      <c r="B7" s="7" t="s">
        <v>327</v>
      </c>
      <c r="C7" s="7" t="s">
        <v>94</v>
      </c>
      <c r="D7" s="20" t="n">
        <v>0.8</v>
      </c>
      <c r="E7" s="19" t="s">
        <v>353</v>
      </c>
    </row>
    <row r="8" customFormat="false" ht="15" hidden="false" customHeight="false" outlineLevel="0" collapsed="false">
      <c r="B8" s="7" t="s">
        <v>327</v>
      </c>
      <c r="C8" s="7" t="s">
        <v>98</v>
      </c>
      <c r="D8" s="20" t="n">
        <v>0.7</v>
      </c>
      <c r="E8" s="19" t="s">
        <v>354</v>
      </c>
    </row>
    <row r="9" customFormat="false" ht="15" hidden="false" customHeight="false" outlineLevel="0" collapsed="false">
      <c r="B9" s="7" t="s">
        <v>327</v>
      </c>
      <c r="C9" s="7" t="s">
        <v>100</v>
      </c>
      <c r="D9" s="20" t="n">
        <v>0.6</v>
      </c>
      <c r="E9" s="19" t="s">
        <v>355</v>
      </c>
    </row>
    <row r="10" customFormat="false" ht="15" hidden="false" customHeight="false" outlineLevel="0" collapsed="false">
      <c r="B10" s="7" t="s">
        <v>327</v>
      </c>
      <c r="C10" s="7" t="s">
        <v>136</v>
      </c>
      <c r="D10" s="20" t="n">
        <v>0.85</v>
      </c>
      <c r="E10" s="19" t="s">
        <v>356</v>
      </c>
    </row>
    <row r="11" customFormat="false" ht="15" hidden="false" customHeight="false" outlineLevel="0" collapsed="false">
      <c r="B11" s="7" t="s">
        <v>327</v>
      </c>
      <c r="C11" s="7" t="s">
        <v>139</v>
      </c>
      <c r="D11" s="20" t="n">
        <v>0.7</v>
      </c>
      <c r="E11" s="19" t="s">
        <v>357</v>
      </c>
    </row>
    <row r="12" customFormat="false" ht="15" hidden="false" customHeight="false" outlineLevel="0" collapsed="false">
      <c r="B12" s="7" t="s">
        <v>327</v>
      </c>
      <c r="C12" s="7" t="s">
        <v>147</v>
      </c>
      <c r="D12" s="20" t="n">
        <v>0.5</v>
      </c>
      <c r="E12" s="19" t="s">
        <v>358</v>
      </c>
    </row>
    <row r="13" customFormat="false" ht="15" hidden="false" customHeight="false" outlineLevel="0" collapsed="false">
      <c r="B13" s="7" t="s">
        <v>327</v>
      </c>
      <c r="C13" s="7" t="s">
        <v>212</v>
      </c>
      <c r="D13" s="20" t="n">
        <v>0.6</v>
      </c>
      <c r="E13" s="19" t="s">
        <v>359</v>
      </c>
    </row>
    <row r="14" customFormat="false" ht="15" hidden="false" customHeight="false" outlineLevel="0" collapsed="false">
      <c r="B14" s="7" t="s">
        <v>331</v>
      </c>
      <c r="C14" s="7" t="s">
        <v>90</v>
      </c>
      <c r="D14" s="20" t="n">
        <v>1</v>
      </c>
      <c r="E14" s="19" t="s">
        <v>360</v>
      </c>
    </row>
    <row r="15" customFormat="false" ht="15" hidden="false" customHeight="false" outlineLevel="0" collapsed="false">
      <c r="B15" s="7" t="s">
        <v>331</v>
      </c>
      <c r="C15" s="7" t="s">
        <v>100</v>
      </c>
      <c r="D15" s="20" t="n">
        <v>0.7</v>
      </c>
      <c r="E15" s="19" t="s">
        <v>361</v>
      </c>
    </row>
    <row r="16" customFormat="false" ht="15" hidden="false" customHeight="false" outlineLevel="0" collapsed="false">
      <c r="B16" s="7" t="s">
        <v>331</v>
      </c>
      <c r="C16" s="7" t="s">
        <v>117</v>
      </c>
      <c r="D16" s="20" t="n">
        <v>0.6</v>
      </c>
      <c r="E16" s="19" t="s">
        <v>362</v>
      </c>
    </row>
    <row r="17" customFormat="false" ht="15" hidden="false" customHeight="false" outlineLevel="0" collapsed="false">
      <c r="B17" s="7" t="s">
        <v>331</v>
      </c>
      <c r="C17" s="7" t="s">
        <v>169</v>
      </c>
      <c r="D17" s="20" t="n">
        <v>0.4</v>
      </c>
      <c r="E17" s="19" t="s">
        <v>363</v>
      </c>
    </row>
    <row r="18" customFormat="false" ht="15" hidden="false" customHeight="false" outlineLevel="0" collapsed="false">
      <c r="B18" s="7" t="s">
        <v>334</v>
      </c>
      <c r="C18" s="7" t="s">
        <v>96</v>
      </c>
      <c r="D18" s="20" t="n">
        <v>0.8</v>
      </c>
      <c r="E18" s="19" t="s">
        <v>364</v>
      </c>
    </row>
    <row r="19" customFormat="false" ht="15" hidden="false" customHeight="false" outlineLevel="0" collapsed="false">
      <c r="B19" s="7" t="s">
        <v>334</v>
      </c>
      <c r="C19" s="7" t="s">
        <v>121</v>
      </c>
      <c r="D19" s="20" t="n">
        <v>0.7</v>
      </c>
      <c r="E19" s="19" t="s">
        <v>365</v>
      </c>
    </row>
    <row r="20" customFormat="false" ht="15" hidden="false" customHeight="false" outlineLevel="0" collapsed="false">
      <c r="B20" s="7" t="s">
        <v>334</v>
      </c>
      <c r="C20" s="7" t="s">
        <v>136</v>
      </c>
      <c r="D20" s="20" t="n">
        <v>0.9</v>
      </c>
      <c r="E20" s="19" t="s">
        <v>366</v>
      </c>
    </row>
    <row r="21" customFormat="false" ht="15" hidden="false" customHeight="false" outlineLevel="0" collapsed="false">
      <c r="B21" s="7" t="s">
        <v>334</v>
      </c>
      <c r="C21" s="7" t="s">
        <v>139</v>
      </c>
      <c r="D21" s="20" t="n">
        <v>0.8</v>
      </c>
      <c r="E21" s="19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2"/>
    <col collapsed="false" customWidth="true" hidden="false" outlineLevel="0" max="10" min="6" style="0" width="10"/>
    <col collapsed="false" customWidth="true" hidden="false" outlineLevel="0" max="11" min="11" style="0" width="44"/>
  </cols>
  <sheetData>
    <row r="2" customFormat="false" ht="19.7" hidden="false" customHeight="false" outlineLevel="0" collapsed="false">
      <c r="B2" s="1" t="s">
        <v>368</v>
      </c>
    </row>
    <row r="3" customFormat="false" ht="15" hidden="false" customHeight="false" outlineLevel="0" collapsed="false">
      <c r="B3" s="9" t="s">
        <v>369</v>
      </c>
    </row>
    <row r="5" customFormat="false" ht="57.45" hidden="false" customHeight="false" outlineLevel="0" collapsed="false">
      <c r="B5" s="10" t="s">
        <v>370</v>
      </c>
      <c r="C5" s="10" t="s">
        <v>371</v>
      </c>
      <c r="D5" s="10" t="s">
        <v>372</v>
      </c>
      <c r="E5" s="10" t="s">
        <v>373</v>
      </c>
      <c r="F5" s="10" t="s">
        <v>374</v>
      </c>
      <c r="G5" s="10" t="s">
        <v>375</v>
      </c>
      <c r="H5" s="10" t="s">
        <v>376</v>
      </c>
      <c r="I5" s="10" t="s">
        <v>377</v>
      </c>
      <c r="J5" s="10" t="s">
        <v>378</v>
      </c>
      <c r="K5" s="10" t="s">
        <v>379</v>
      </c>
      <c r="L5" s="10" t="s">
        <v>380</v>
      </c>
    </row>
    <row r="6" customFormat="false" ht="102.2" hidden="false" customHeight="false" outlineLevel="0" collapsed="false">
      <c r="B6" s="7" t="s">
        <v>381</v>
      </c>
      <c r="C6" s="7" t="s">
        <v>382</v>
      </c>
      <c r="D6" s="18" t="n">
        <v>2.8</v>
      </c>
      <c r="E6" s="16" t="n">
        <v>16</v>
      </c>
      <c r="F6" s="7" t="s">
        <v>383</v>
      </c>
      <c r="G6" s="7" t="s">
        <v>383</v>
      </c>
      <c r="H6" s="7" t="s">
        <v>383</v>
      </c>
      <c r="I6" s="7" t="s">
        <v>384</v>
      </c>
      <c r="J6" s="7" t="s">
        <v>385</v>
      </c>
      <c r="K6" s="7" t="s">
        <v>384</v>
      </c>
      <c r="L6" s="19" t="s">
        <v>386</v>
      </c>
    </row>
    <row r="7" customFormat="false" ht="113.4" hidden="false" customHeight="false" outlineLevel="0" collapsed="false">
      <c r="B7" s="7" t="s">
        <v>387</v>
      </c>
      <c r="C7" s="7" t="s">
        <v>388</v>
      </c>
      <c r="D7" s="18" t="n">
        <v>1.7</v>
      </c>
      <c r="E7" s="16" t="n">
        <v>8</v>
      </c>
      <c r="F7" s="7" t="s">
        <v>383</v>
      </c>
      <c r="G7" s="7" t="s">
        <v>383</v>
      </c>
      <c r="H7" s="7" t="s">
        <v>383</v>
      </c>
      <c r="I7" s="7" t="s">
        <v>385</v>
      </c>
      <c r="J7" s="7" t="s">
        <v>385</v>
      </c>
      <c r="K7" s="7" t="s">
        <v>384</v>
      </c>
      <c r="L7" s="19" t="s">
        <v>389</v>
      </c>
    </row>
    <row r="8" customFormat="false" ht="113.4" hidden="false" customHeight="false" outlineLevel="0" collapsed="false">
      <c r="B8" s="7" t="s">
        <v>390</v>
      </c>
      <c r="C8" s="7" t="s">
        <v>391</v>
      </c>
      <c r="D8" s="18" t="n">
        <v>2.2</v>
      </c>
      <c r="E8" s="16" t="n">
        <v>22</v>
      </c>
      <c r="F8" s="7" t="s">
        <v>383</v>
      </c>
      <c r="G8" s="7" t="s">
        <v>383</v>
      </c>
      <c r="H8" s="7" t="s">
        <v>392</v>
      </c>
      <c r="I8" s="7" t="s">
        <v>384</v>
      </c>
      <c r="J8" s="7" t="s">
        <v>393</v>
      </c>
      <c r="K8" s="7" t="s">
        <v>385</v>
      </c>
      <c r="L8" s="19" t="s">
        <v>394</v>
      </c>
    </row>
    <row r="9" customFormat="false" ht="113.4" hidden="false" customHeight="false" outlineLevel="0" collapsed="false">
      <c r="B9" s="7" t="s">
        <v>395</v>
      </c>
      <c r="C9" s="7" t="s">
        <v>396</v>
      </c>
      <c r="D9" s="18" t="n">
        <v>2</v>
      </c>
      <c r="E9" s="16" t="n">
        <v>19</v>
      </c>
      <c r="F9" s="7" t="s">
        <v>383</v>
      </c>
      <c r="G9" s="7" t="s">
        <v>383</v>
      </c>
      <c r="H9" s="7" t="s">
        <v>383</v>
      </c>
      <c r="I9" s="7" t="s">
        <v>385</v>
      </c>
      <c r="J9" s="7" t="s">
        <v>385</v>
      </c>
      <c r="K9" s="7" t="s">
        <v>384</v>
      </c>
      <c r="L9" s="19" t="s">
        <v>397</v>
      </c>
    </row>
    <row r="10" customFormat="false" ht="113.4" hidden="false" customHeight="false" outlineLevel="0" collapsed="false">
      <c r="B10" s="7" t="s">
        <v>398</v>
      </c>
      <c r="C10" s="7" t="s">
        <v>399</v>
      </c>
      <c r="D10" s="18" t="n">
        <v>2.3</v>
      </c>
      <c r="E10" s="16" t="n">
        <v>28</v>
      </c>
      <c r="F10" s="7" t="s">
        <v>383</v>
      </c>
      <c r="G10" s="7" t="s">
        <v>383</v>
      </c>
      <c r="H10" s="7" t="s">
        <v>383</v>
      </c>
      <c r="I10" s="7" t="s">
        <v>384</v>
      </c>
      <c r="J10" s="7" t="s">
        <v>385</v>
      </c>
      <c r="K10" s="7" t="s">
        <v>385</v>
      </c>
      <c r="L10" s="19" t="s">
        <v>400</v>
      </c>
    </row>
    <row r="11" customFormat="false" ht="124.6" hidden="false" customHeight="false" outlineLevel="0" collapsed="false">
      <c r="B11" s="7" t="s">
        <v>401</v>
      </c>
      <c r="C11" s="7" t="s">
        <v>402</v>
      </c>
      <c r="D11" s="18" t="n">
        <v>2.1</v>
      </c>
      <c r="E11" s="16" t="n">
        <v>5</v>
      </c>
      <c r="F11" s="7" t="s">
        <v>383</v>
      </c>
      <c r="G11" s="7" t="s">
        <v>383</v>
      </c>
      <c r="H11" s="7" t="s">
        <v>383</v>
      </c>
      <c r="I11" s="7" t="s">
        <v>385</v>
      </c>
      <c r="J11" s="7" t="s">
        <v>384</v>
      </c>
      <c r="K11" s="7" t="s">
        <v>384</v>
      </c>
      <c r="L11" s="19" t="s">
        <v>403</v>
      </c>
    </row>
    <row r="12" customFormat="false" ht="135.8" hidden="false" customHeight="false" outlineLevel="0" collapsed="false">
      <c r="B12" s="7" t="s">
        <v>404</v>
      </c>
      <c r="C12" s="7" t="s">
        <v>405</v>
      </c>
      <c r="D12" s="18" t="n">
        <v>1.3</v>
      </c>
      <c r="E12" s="16" t="n">
        <v>1</v>
      </c>
      <c r="F12" s="7" t="s">
        <v>383</v>
      </c>
      <c r="G12" s="7" t="s">
        <v>383</v>
      </c>
      <c r="H12" s="7" t="s">
        <v>383</v>
      </c>
      <c r="I12" s="7" t="s">
        <v>384</v>
      </c>
      <c r="J12" s="7" t="s">
        <v>385</v>
      </c>
      <c r="K12" s="7" t="s">
        <v>385</v>
      </c>
      <c r="L12" s="19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5" min="4" style="0" width="12"/>
  </cols>
  <sheetData>
    <row r="2" customFormat="false" ht="19.7" hidden="false" customHeight="false" outlineLevel="0" collapsed="false">
      <c r="B2" s="1" t="s">
        <v>407</v>
      </c>
    </row>
    <row r="3" customFormat="false" ht="15" hidden="false" customHeight="false" outlineLevel="0" collapsed="false">
      <c r="B3" s="9" t="s">
        <v>408</v>
      </c>
    </row>
    <row r="5" customFormat="false" ht="15" hidden="false" customHeight="false" outlineLevel="0" collapsed="false">
      <c r="B5" s="10" t="s">
        <v>409</v>
      </c>
      <c r="C5" s="10" t="s">
        <v>410</v>
      </c>
      <c r="D5" s="10" t="s">
        <v>411</v>
      </c>
      <c r="E5" s="10" t="s">
        <v>412</v>
      </c>
    </row>
    <row r="6" customFormat="false" ht="23.85" hidden="false" customHeight="false" outlineLevel="0" collapsed="false">
      <c r="B6" s="7" t="s">
        <v>413</v>
      </c>
      <c r="C6" s="19" t="s">
        <v>414</v>
      </c>
      <c r="D6" s="7" t="s">
        <v>393</v>
      </c>
      <c r="E6" s="7"/>
    </row>
    <row r="7" customFormat="false" ht="15" hidden="false" customHeight="false" outlineLevel="0" collapsed="false">
      <c r="B7" s="7" t="s">
        <v>415</v>
      </c>
      <c r="C7" s="19" t="s">
        <v>416</v>
      </c>
      <c r="D7" s="7" t="s">
        <v>393</v>
      </c>
      <c r="E7" s="7" t="s">
        <v>417</v>
      </c>
    </row>
    <row r="8" customFormat="false" ht="15" hidden="false" customHeight="false" outlineLevel="0" collapsed="false">
      <c r="B8" s="7" t="s">
        <v>415</v>
      </c>
      <c r="C8" s="19" t="s">
        <v>418</v>
      </c>
      <c r="D8" s="7" t="s">
        <v>385</v>
      </c>
      <c r="E8" s="7" t="s">
        <v>419</v>
      </c>
    </row>
    <row r="9" customFormat="false" ht="15" hidden="false" customHeight="false" outlineLevel="0" collapsed="false">
      <c r="B9" s="7" t="s">
        <v>415</v>
      </c>
      <c r="C9" s="19" t="s">
        <v>420</v>
      </c>
      <c r="D9" s="7" t="s">
        <v>385</v>
      </c>
      <c r="E9" s="7" t="s">
        <v>421</v>
      </c>
    </row>
    <row r="10" customFormat="false" ht="15" hidden="false" customHeight="false" outlineLevel="0" collapsed="false">
      <c r="B10" s="7" t="s">
        <v>415</v>
      </c>
      <c r="C10" s="19" t="s">
        <v>422</v>
      </c>
      <c r="D10" s="7" t="s">
        <v>385</v>
      </c>
      <c r="E10" s="7" t="s">
        <v>423</v>
      </c>
    </row>
    <row r="11" customFormat="false" ht="15" hidden="false" customHeight="false" outlineLevel="0" collapsed="false">
      <c r="B11" s="7" t="s">
        <v>415</v>
      </c>
      <c r="C11" s="19" t="s">
        <v>424</v>
      </c>
      <c r="D11" s="7" t="s">
        <v>385</v>
      </c>
      <c r="E11" s="7" t="s">
        <v>425</v>
      </c>
    </row>
    <row r="12" customFormat="false" ht="15" hidden="false" customHeight="false" outlineLevel="0" collapsed="false">
      <c r="B12" s="7" t="s">
        <v>426</v>
      </c>
      <c r="C12" s="19" t="s">
        <v>427</v>
      </c>
      <c r="D12" s="7" t="s">
        <v>393</v>
      </c>
      <c r="E12" s="7"/>
    </row>
    <row r="13" customFormat="false" ht="15" hidden="false" customHeight="false" outlineLevel="0" collapsed="false">
      <c r="B13" s="7" t="s">
        <v>426</v>
      </c>
      <c r="C13" s="19" t="s">
        <v>428</v>
      </c>
      <c r="D13" s="7" t="s">
        <v>384</v>
      </c>
      <c r="E13" s="7"/>
    </row>
    <row r="14" customFormat="false" ht="15" hidden="false" customHeight="false" outlineLevel="0" collapsed="false">
      <c r="B14" s="7" t="s">
        <v>429</v>
      </c>
      <c r="C14" s="19" t="s">
        <v>430</v>
      </c>
      <c r="D14" s="7" t="s">
        <v>385</v>
      </c>
      <c r="E14" s="7"/>
    </row>
    <row r="15" customFormat="false" ht="15" hidden="false" customHeight="false" outlineLevel="0" collapsed="false">
      <c r="B15" s="7" t="s">
        <v>429</v>
      </c>
      <c r="C15" s="19" t="s">
        <v>431</v>
      </c>
      <c r="D15" s="7" t="s">
        <v>384</v>
      </c>
      <c r="E15" s="7"/>
    </row>
    <row r="16" customFormat="false" ht="15" hidden="false" customHeight="false" outlineLevel="0" collapsed="false">
      <c r="B16" s="7" t="s">
        <v>413</v>
      </c>
      <c r="C16" s="19" t="s">
        <v>432</v>
      </c>
      <c r="D16" s="7" t="s">
        <v>385</v>
      </c>
      <c r="E16" s="7"/>
    </row>
    <row r="17" customFormat="false" ht="15" hidden="false" customHeight="false" outlineLevel="0" collapsed="false">
      <c r="B17" s="7" t="s">
        <v>415</v>
      </c>
      <c r="C17" s="19" t="s">
        <v>433</v>
      </c>
      <c r="D17" s="7" t="s">
        <v>393</v>
      </c>
      <c r="E17" s="7" t="s">
        <v>434</v>
      </c>
    </row>
    <row r="18" customFormat="false" ht="15" hidden="false" customHeight="false" outlineLevel="0" collapsed="false">
      <c r="B18" s="7" t="s">
        <v>415</v>
      </c>
      <c r="C18" s="19" t="s">
        <v>435</v>
      </c>
      <c r="D18" s="7" t="s">
        <v>393</v>
      </c>
      <c r="E18" s="7" t="s">
        <v>436</v>
      </c>
    </row>
    <row r="19" customFormat="false" ht="15" hidden="false" customHeight="false" outlineLevel="0" collapsed="false">
      <c r="B19" s="7" t="s">
        <v>413</v>
      </c>
      <c r="C19" s="19" t="s">
        <v>437</v>
      </c>
      <c r="D19" s="7" t="s">
        <v>393</v>
      </c>
      <c r="E1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2026-05-28T04:35:47Z</dcterms:created>
  <dc:creator>openpyxl</dc:creator>
  <dc:description/>
  <dc:language>en-US</dc:language>
  <cp:lastModifiedBy/>
  <dcterms:modified xsi:type="dcterms:W3CDTF">2026-05-28T04:35:47Z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